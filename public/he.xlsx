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 Heuristic Evaluation" sheetId="1" r:id="rId4"/>
    <sheet state="visible" name="Summary of Evaluations" sheetId="2" r:id="rId5"/>
    <sheet state="visible" name="Evaluation Statistics" sheetId="3" r:id="rId6"/>
    <sheet state="visible" name="Summary Recommendations" sheetId="4" r:id="rId7"/>
  </sheets>
  <definedNames>
    <definedName hidden="1" localSheetId="0" name="_xlnm._FilterDatabase">'Group Heuristic Evaluation'!$A$10:$I$48</definedName>
    <definedName hidden="1" localSheetId="0" name="Z_BCE403CC_B4CC_4956_BB23_93D7DFD06DB1_.wvu.FilterData">'Group Heuristic Evaluation'!$A$10:$I$48</definedName>
    <definedName hidden="1" localSheetId="0" name="Z_F4610630_59AA_4EE6_A1BB_8B6CB4C5A994_.wvu.FilterData">'Group Heuristic Evaluation'!$A$10:$I$48</definedName>
  </definedNames>
  <calcPr/>
  <customWorkbookViews>
    <customWorkbookView activeSheetId="0" maximized="1" windowHeight="0" windowWidth="0" guid="{BCE403CC-B4CC-4956-BB23-93D7DFD06DB1}" name="Group by Task "/>
    <customWorkbookView activeSheetId="0" maximized="1" windowHeight="0" windowWidth="0" guid="{F4610630-59AA-4EE6-A1BB-8B6CB4C5A994}" name="Group by Task"/>
  </customWorkbookViews>
</workbook>
</file>

<file path=xl/sharedStrings.xml><?xml version="1.0" encoding="utf-8"?>
<sst xmlns="http://schemas.openxmlformats.org/spreadsheetml/2006/main" count="260" uniqueCount="160">
  <si>
    <t xml:space="preserve">Prototype Description: </t>
  </si>
  <si>
    <t>Stitch is a mobile application that creates a community and network for small businesses, to help them find collaboration partners and co-host events.</t>
  </si>
  <si>
    <t>Simple Task</t>
  </si>
  <si>
    <t xml:space="preserve">The simple task is navigating to chat with another small business from a feed, the feed shows AI recommended businesses if the AI button is toggled on. For sending a message there is also the option to send the AI template message or to edit it and then send it.			</t>
  </si>
  <si>
    <t>Evaluator A</t>
  </si>
  <si>
    <t>Moderate Task</t>
  </si>
  <si>
    <t xml:space="preserve">The moderate task is creating a collaboration request by posting an event or responding to a message from another small business. </t>
  </si>
  <si>
    <t>Evaluator B</t>
  </si>
  <si>
    <t>Complex Task</t>
  </si>
  <si>
    <t>The complex task is managing recurring collaborations, providing post-event feedback, and setting up repeating events through
the Communities hub. This task helps turn successful collaborations into ongoing partnerships for small businesses.</t>
  </si>
  <si>
    <t>Evaluator C</t>
  </si>
  <si>
    <t>Evaluator D</t>
  </si>
  <si>
    <t>*attach images in this column if helpful</t>
  </si>
  <si>
    <t>Problem #</t>
  </si>
  <si>
    <t xml:space="preserve">Heuristic </t>
  </si>
  <si>
    <t>Task</t>
  </si>
  <si>
    <t>Severity</t>
  </si>
  <si>
    <t>Description</t>
  </si>
  <si>
    <t>Rationale</t>
  </si>
  <si>
    <t>Fix</t>
  </si>
  <si>
    <t>Images</t>
  </si>
  <si>
    <t>Found by</t>
  </si>
  <si>
    <t>H8: Aesthetic &amp; Minimalist Design</t>
  </si>
  <si>
    <t>5. Extra Violations</t>
  </si>
  <si>
    <t>In onboarding, the progress bar at the top should be three equal length bars instead of one that is being filled with the green colour as the steps progress, as the user progresses with each step, one bar should be filled.</t>
  </si>
  <si>
    <t>It makes for a good UI design generally, keep things standardized.</t>
  </si>
  <si>
    <t>Use three bars instead of 1.</t>
  </si>
  <si>
    <t>B, A, D</t>
  </si>
  <si>
    <t>H11: Accessible Design</t>
  </si>
  <si>
    <t>4. All Tasks</t>
  </si>
  <si>
    <t>Text size is too small - your primary audience is small business owners.</t>
  </si>
  <si>
    <t>Small business owners are usually people aged 20+</t>
  </si>
  <si>
    <t>Have bigger text to make it more accessible and readable.</t>
  </si>
  <si>
    <t>H4: Consistency &amp; Standards</t>
  </si>
  <si>
    <t xml:space="preserve">The navigation elements are all different colours, for example on the feed page they're brown (Message) and the navigation elements for the community page they're green, e.g. the "View Details" button. The “Edit” button uses a beige tone, while the “Send Template Message” button is dark green, whereas elsewhere in the app, the other buttons (for ex the RSVP button) are a darker beige, showing inconsistent color styling. </t>
  </si>
  <si>
    <t>There should be a uniform and consistent colour palette across the app.</t>
  </si>
  <si>
    <t>Have a designated palette/colour theme.</t>
  </si>
  <si>
    <t>B</t>
  </si>
  <si>
    <t>H1: Visibility of System Status</t>
  </si>
  <si>
    <t>1. Simple Task</t>
  </si>
  <si>
    <t xml:space="preserve">The toggle lacks confirmation, how will the user know if its off/on. </t>
  </si>
  <si>
    <t>User might've accidentally toggled it off if they meant to turn it on.</t>
  </si>
  <si>
    <t xml:space="preserve">Add some sort off text in toggle button to showcase if its on/off // make it more evident. </t>
  </si>
  <si>
    <t>The sending a message button the feed changes between AI toggled on/off - "Message" vs "Send Message" - keep it the same for consistency purposes</t>
  </si>
  <si>
    <t>User might get confused by the difference in wordings, considering the functionality is the same.</t>
  </si>
  <si>
    <t>Keep it "Message"</t>
  </si>
  <si>
    <t>The option to comment goes away in AI toggled-on mode, but it's there when AI mode is toggled off?</t>
  </si>
  <si>
    <t>The user completely loses the ability to comment on other posts in the AI toggled on option, this might be a problem. Not sure if this was intentional - but it is a little confusing as to why features are different for AI toggled on/off mode.</t>
  </si>
  <si>
    <t>Have some sort of brief explanation / on-boarding pop up that informs user of what toggling AI will do if it's intentional. If unintentional just make it consistent.</t>
  </si>
  <si>
    <t>Use of green highlight for the "AI thinks this.." draws focus away from the main content.</t>
  </si>
  <si>
    <t xml:space="preserve">User's eyes first go towards the text in the green box however the mai focus are the event ddetails, not why AI recommends them. </t>
  </si>
  <si>
    <t>Remove special highlights for the AI recommends part.</t>
  </si>
  <si>
    <t>H2: Match b/w System &amp; World</t>
  </si>
  <si>
    <t>Uses non-user friendly language - "AI recommends.."</t>
  </si>
  <si>
    <t>Small business owners may not find such language as approachable/natural.</t>
  </si>
  <si>
    <t>Phrase as "Suggestions for you.."</t>
  </si>
  <si>
    <t>H3: User Control &amp; Freedom</t>
  </si>
  <si>
    <t xml:space="preserve">When the user clicks send message and it brings the user to a screen to draft the message: lets say the user decides to not send the message after all, shouldn't it bring the user back to the feed instead of the inbox?. </t>
  </si>
  <si>
    <t xml:space="preserve">The back arrow violates H3 since it ruins the user flow. It doesn't bring the user back to the feed screen like intended. </t>
  </si>
  <si>
    <t>Wire the back arrow back to the feed screen rather than the inbox</t>
  </si>
  <si>
    <t>2. Moderate Task</t>
  </si>
  <si>
    <t>Inconsistency in "Stitch now" vs "Create Stitch"</t>
  </si>
  <si>
    <t>Confuses users about whether it does the same thing or different things.</t>
  </si>
  <si>
    <t>Keep the language consistent.</t>
  </si>
  <si>
    <t>H10: Help &amp; Documentation</t>
  </si>
  <si>
    <t>Not clearly documented what the "Stitch Now" button does//when user should click it</t>
  </si>
  <si>
    <t>What is prompting user to click it// How are they to know it creates a collaboration event?</t>
  </si>
  <si>
    <t>The tip should be at the top to let users know what a stitch is. Or have some sort of pop up or text in the conversation that lets users know what a stitch is and whether they should create it - otheriwse what is prompting them to click it in the first place?</t>
  </si>
  <si>
    <t>No option to call/record voice memos for users who are not very text savvy.</t>
  </si>
  <si>
    <t>Small business owners might find it inefficient to only be able to text, calls/voice memos might get the point across quicker most of the time. Sharing images etc would also be a helpful feature.</t>
  </si>
  <si>
    <t>Add option to upload voice memos/texts etc.</t>
  </si>
  <si>
    <t>3. Complex Task</t>
  </si>
  <si>
    <t>Make my events &amp; other events a bit more eye-catching/prominent to improve the visual heirarchy.</t>
  </si>
  <si>
    <t>We want the distinction to be super clear.</t>
  </si>
  <si>
    <t>Maybe have them in green bold OR Create a toggle on the top of the screen for my events other events and it will show depending on which is selected</t>
  </si>
  <si>
    <t>H5: Error Prevention</t>
  </si>
  <si>
    <t>The "Finished Event" isn't quite clear on what clicking the button would do.</t>
  </si>
  <si>
    <t>"Finished Event" might be confusing to users - they might not be sure on what that means.</t>
  </si>
  <si>
    <t>Use more self explanatory terms like "Rate your event" etc.</t>
  </si>
  <si>
    <t>B, D</t>
  </si>
  <si>
    <t>H6: Recognition not Recall</t>
  </si>
  <si>
    <t>Not entirely clear where the "Personal Notes (for yourself)" are being stored when rating the Finished Event.</t>
  </si>
  <si>
    <t>Users might want to be able to look at these in the future but are unable to do so.</t>
  </si>
  <si>
    <t>Maybe add like an instruction in the green box for where the user can later access these. It's clear that you can see past events in past history in the profile section but not clear enough whether it also has the notes etc from events//so maybe rephrase it in a way to make it more clear.</t>
  </si>
  <si>
    <t>H9: Help Users with Errors</t>
  </si>
  <si>
    <t>The green info panel is at the bottom and intuitively users are likely to read it at the end after they have already filled in their details.</t>
  </si>
  <si>
    <t>Users should first read the information panel/instructions/guidance before they start filling their details.</t>
  </si>
  <si>
    <t>The green panel should be at the top to make it more intuitive.</t>
  </si>
  <si>
    <t>H12: Value Alignment &amp; Inclusion</t>
  </si>
  <si>
    <t>The App does not have an introductory/onboarding page - maybe something about its values/mission etc.</t>
  </si>
  <si>
    <t>Something like this would help users understand the app's mission and values.</t>
  </si>
  <si>
    <t xml:space="preserve">Add an about page that would give a brief intro of the app and its features, its values and committment. </t>
  </si>
  <si>
    <t>The App currently lacks other language options.</t>
  </si>
  <si>
    <t>It might not be as user-friemdly for non English speakers.</t>
  </si>
  <si>
    <t xml:space="preserve">Introduce other language options. </t>
  </si>
  <si>
    <t>When the user clicks "finished task" they don't have an option to exit the pop up if the user accidentally clicks on it</t>
  </si>
  <si>
    <t>This violates the user control, since the user isn't able to undo or exit a task</t>
  </si>
  <si>
    <t>Add a x button to signal "close" pop up</t>
  </si>
  <si>
    <t>H7: Flexibility &amp; Efficiency of Use</t>
  </si>
  <si>
    <t xml:space="preserve">The user has to go through with rating the event first before they can go to repeat it. </t>
  </si>
  <si>
    <t>Users might want to just direcly repeat event instead of rating it first, (if they are like busy small business onwers and don't wnat to go through with closing the event but just want to reschedule it) so the option to do so should be there.</t>
  </si>
  <si>
    <t>Just have repeat event, and move the rating button to somewhere else?</t>
  </si>
  <si>
    <t>When the user decides to toggle between AI and not AI, the heading and the subheading are changing. e.g. "The Daily Grind Coffee Co" is the heading for the the AI version and a subheading for non-AI (individual feedback)</t>
  </si>
  <si>
    <t>The heading of "The Daily Coffee Grind Co." should be the heading for the non AI toggle, but in this case it becomes the subheading when you toggle AI off</t>
  </si>
  <si>
    <t>Keep "The Daily Grind Coffee Co." as the heading for both AI and non AI as it is the more important read as opposed to the person who post a collaboration invite. Because users are looking for small business rather than people who run small businesses (small read, but hopefully its helpful)</t>
  </si>
  <si>
    <t>When the user toggles between AI and non-AI, the icon with the initial is changing in size and shape</t>
  </si>
  <si>
    <t>The change of size and shape violates H4 as it becomes inconsistent for the same functionality and may require users to relearn this pattern</t>
  </si>
  <si>
    <t xml:space="preserve">Decide on one shape and size because it serves the same purpose. I recommend sticking with the smaller shape of the circle. </t>
  </si>
  <si>
    <t>A</t>
  </si>
  <si>
    <t>When the user checks the community page and finds the "my events" and anything before it reads "other events". For "my events" inside the event box its labeled as 'Your event". which is redundant</t>
  </si>
  <si>
    <t>It shouldn't include any extra/unnecessary repetitive information. which it does here since the user knows its under my event, and has an extra "my event" tag.</t>
  </si>
  <si>
    <t xml:space="preserve">Decide between just one indicator. I personally recommend creating a toggle to toggle between your own event and other event </t>
  </si>
  <si>
    <t>When the user finishes creating a stich and when they view the event. The icon spacing between message and the icon message is not consistent with the spacing of the edit details and edit details icon</t>
  </si>
  <si>
    <t xml:space="preserve">The icon spacing for editing is a lot closer than the send message icon to the message text, thus its inconsistent and just a visual minor critqiue </t>
  </si>
  <si>
    <t>Have a universal spacing between the icon and text</t>
  </si>
  <si>
    <t>A, D</t>
  </si>
  <si>
    <t>When the user checks the community page to finish an event. The user has a choice to reapeat an event and a minor issue is that when it says "Event" it has a repeat icon infront of the Event, but users know they are repeating the event or not. For consistency sake, keep Event as "Event" as its functionality is to tell the user what event they are looking to repeat or not.</t>
  </si>
  <si>
    <t>The repeat icon before event is inconsistent labeling and since Event appears without an icon everywhere else, it breaks the prototypes pattern. And the Icon isn't adding anything new</t>
  </si>
  <si>
    <t>Remove the repeat Icon</t>
  </si>
  <si>
    <t>When the user goes through the post "survey" for finishing an event, the tip box does not include the tip text after the light bulb Icon</t>
  </si>
  <si>
    <t>We see the tip text come after the light bulb icon from every other tip box, but not this one. Thus, lacks consistency and there is no standard common ground</t>
  </si>
  <si>
    <t>add the "tip" text following the light bulb icon</t>
  </si>
  <si>
    <t>Should the text say "finish event" instead of "finished event" if thats the button the user clicks to end the event?</t>
  </si>
  <si>
    <t xml:space="preserve">Once the AI-generated message is sent, there is no way to undo or edit the message. </t>
  </si>
  <si>
    <t>This restricts user control and increases frustration since the message auto-sends without confirmation or edit access.</t>
  </si>
  <si>
    <t>Add a “Confirm Send” step or/and a 2–3 second Undo option similar to Gmail’s undo feature.</t>
  </si>
  <si>
    <t>C</t>
  </si>
  <si>
    <t>Experienced users who repeatedly send outreach messages must always scroll through the AI Template block and click Send Template Message; there’s no keyboard shortcut or quick-send gesture.</t>
  </si>
  <si>
    <t>This slows down frequent networkers who want faster interaction once they trust the template.</t>
  </si>
  <si>
    <t>Offer a swipe gesture or long-press quick-send for advanced users after the first few uses,</t>
  </si>
  <si>
    <t>The calendar picker interaction differs visually from the rest of the interface (different border radius and spacing)</t>
  </si>
  <si>
    <t>This inconsistency is a little jarring.</t>
  </si>
  <si>
    <t>Match calendar styling to the app’s design system</t>
  </si>
  <si>
    <t>The Stitch creation flow doesn’t include an option to make the event recurring (I understand that after that you can make it recurring, might be beneficial to have it here as well).</t>
  </si>
  <si>
    <t>Collaborators who really like each other might just schedule recurring sessions from the first time</t>
  </si>
  <si>
    <t>Add a “Repeat event” toggle during Stitch creation, consistent with the later recurring event feature in the Community page.</t>
  </si>
  <si>
    <t>After users view the confirmation (“Check it out in Communities”), the system doesn’t automatically scroll or highlight the event when the Communities page opens.</t>
  </si>
  <si>
    <t>Users must recall the event name or date and scan manually through “My Events” to locate it, which increases cognitive load.</t>
  </si>
  <si>
    <t>Use a subtle animation or color highlight around the new event for a few seconds after redirection.</t>
  </si>
  <si>
    <t>The system doesn’t provide any autocomplete or suggestion memory for event names previously used</t>
  </si>
  <si>
    <t>Returning users repeating similar collaborations must recall full titles manually, increasing cognitive effort.</t>
  </si>
  <si>
    <t>Add a dropdown of recent or recurring event names to allow faster re-selection.</t>
  </si>
  <si>
    <t>Users have no ability to delete or archive past events once finished.</t>
  </si>
  <si>
    <t>Over time, completed collaborations will clutter the dashboard, reducing visibility for active projects.</t>
  </si>
  <si>
    <t>Add a “Delete” or “Archive” option under “Finished Event” to maintain control and declutter the interface.</t>
  </si>
  <si>
    <t>Heuristic</t>
  </si>
  <si>
    <t># Viol. (sev 0)</t>
  </si>
  <si>
    <t># Viol. (sev 1)</t>
  </si>
  <si>
    <t># Viol. (sev 2)</t>
  </si>
  <si>
    <t># Viol. (sev 3)</t>
  </si>
  <si>
    <t># Viol. (sev 4)</t>
  </si>
  <si>
    <t># Viol. (total)</t>
  </si>
  <si>
    <t>H12. ​​Value Alignment &amp; Inclusion</t>
  </si>
  <si>
    <t>Total Violations</t>
  </si>
  <si>
    <r>
      <rPr>
        <rFont val="Arial"/>
        <i/>
        <color theme="1"/>
      </rPr>
      <t xml:space="preserve">* for this to calculate properly, </t>
    </r>
    <r>
      <rPr>
        <rFont val="Arial"/>
        <b/>
        <i/>
        <color theme="1"/>
      </rPr>
      <t>delete</t>
    </r>
    <r>
      <rPr>
        <rFont val="Arial"/>
        <i/>
        <color theme="1"/>
      </rPr>
      <t xml:space="preserve"> any unused rows from your 'Group Heuristic Evaluation' chart!</t>
    </r>
  </si>
  <si>
    <t xml:space="preserve">Evaluator D </t>
  </si>
  <si>
    <t>Total (sevs. 3 &amp; 4)</t>
  </si>
  <si>
    <t>Total (all sevs)</t>
  </si>
  <si>
    <r>
      <rPr>
        <rFont val="Arial"/>
        <b/>
        <color theme="1"/>
      </rPr>
      <t xml:space="preserve">Summary Recommendations </t>
    </r>
    <r>
      <rPr>
        <rFont val="Arial"/>
        <b val="0"/>
        <i/>
        <color theme="1"/>
      </rPr>
      <t>[merge the general recommendations you made here]</t>
    </r>
  </si>
  <si>
    <t>1.The onboarding could include a more in depth description of what the buttons do more specifically the stitch now button. There is no clear indicator or blurb that lets users know what the button actually means. Our recommendation is to include that blurb in your onboarding process.   
2.The AI toggle on and off has inconsistencies in user interface design. Where the Icon goes from big square to a smaller circle icon and another note is that the header [in AI mode] is the companies name, but when the AI mode is toggled off, the header becomes the users name and subheader becomes the companies name. Our recommendation is to pick a consistent shape (square is our pick), and keeping the header the companies name instead of changing it when toggling between AI and non-AI because business owners are looking for companies rather than people more specifically. 
3. For the buttons across the app, some are dark green, others are beige, some are light green, it's a little inconsistent and it would be better to make it more consistent / maybe have like all navigation buttons be either dark green or white depending on the importance.
4. Also in the complex task , small business owners might be too busy and may not want to go through with the "Finished Now" part before going to the "Repeat Event" part, so maybe keep the two workflows seperate? Have another button for the "Repeat Events" task. Also, if a user accidentally clicks "Finished Event" but don't want to fill it in and if they click skip (because there is no other way to exit) it just shows the "Repeat Event" and not the "Finished Button" anymore, so maybe have like a cross in the corner to let the user exit the "Finished Event workflow"</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</si>
</sst>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scheme val="minor"/>
    </font>
    <font>
      <color theme="1"/>
      <name val="Arial"/>
    </font>
    <font>
      <color theme="1"/>
      <name val="Arial"/>
      <scheme val="minor"/>
    </font>
    <font>
      <i/>
      <color theme="1"/>
      <name val="Arial"/>
      <scheme val="minor"/>
    </font>
    <font>
      <i/>
      <color theme="1"/>
      <name val="Arial"/>
    </font>
    <font>
      <color rgb="FF434343"/>
      <name val="Roboto"/>
    </font>
    <font>
      <color rgb="FF473821"/>
      <name val="Roboto"/>
    </font>
    <font>
      <color rgb="FF753800"/>
      <name val="Roboto"/>
    </font>
    <font>
      <color rgb="FFB10202"/>
      <name val="Roboto"/>
    </font>
    <font>
      <color rgb="FFB10202"/>
      <name val="Arial"/>
    </font>
    <font>
      <color rgb="FF0A53A8"/>
      <name val="Roboto"/>
    </font>
    <font>
      <b/>
      <sz val="9.0"/>
      <color rgb="FF000000"/>
      <name val="&quot;Source Sans Pro&quot;"/>
    </font>
    <font>
      <color theme="1"/>
      <name val="Google Sans Mono"/>
    </font>
    <font>
      <sz val="9.0"/>
      <color rgb="FF000000"/>
      <name val="Google Sans Mono"/>
    </font>
    <font>
      <sz val="9.0"/>
      <color rgb="FF000000"/>
      <name val="&quot;Google Sans Mono&quot;"/>
    </font>
    <font>
      <b/>
      <color theme="1"/>
      <name val="Arial"/>
    </font>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s>
  <borders count="15">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442F65"/>
      </right>
      <top style="thin">
        <color rgb="FFF6F8F9"/>
      </top>
      <bottom style="thin">
        <color rgb="FFF6F8F9"/>
      </bottom>
    </border>
    <border>
      <left style="thin">
        <color rgb="FFFFFFFF"/>
      </left>
      <right style="thin">
        <color rgb="FF442F65"/>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442F65"/>
      </left>
      <right style="thin">
        <color rgb="FFFFFFFF"/>
      </right>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shrinkToFit="0" vertical="bottom" wrapText="1"/>
    </xf>
    <xf borderId="0" fillId="0" fontId="3" numFmtId="0" xfId="0" applyAlignment="1" applyFont="1">
      <alignment horizontal="left" readingOrder="0" shrinkToFit="0" wrapText="1"/>
    </xf>
    <xf borderId="0" fillId="0" fontId="1" numFmtId="0" xfId="0" applyAlignment="1" applyFont="1">
      <alignment horizontal="left" readingOrder="0" shrinkToFit="0" wrapText="1"/>
    </xf>
    <xf borderId="0" fillId="0" fontId="4" numFmtId="0" xfId="0" applyAlignment="1" applyFont="1">
      <alignment horizontal="left" readingOrder="0" shrinkToFit="0" wrapText="1"/>
    </xf>
    <xf borderId="0" fillId="0" fontId="3" numFmtId="0" xfId="0" applyAlignment="1" applyFont="1">
      <alignment readingOrder="0" shrinkToFit="0" wrapText="1"/>
    </xf>
    <xf borderId="0" fillId="2" fontId="1" numFmtId="0" xfId="0" applyAlignment="1" applyFill="1" applyFont="1">
      <alignment horizontal="left" readingOrder="0"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0"/>
    </xf>
    <xf borderId="1" fillId="3" fontId="6" numFmtId="0" xfId="0" applyAlignment="1" applyBorder="1" applyFill="1" applyFont="1">
      <alignment shrinkToFit="0" vertical="center" wrapText="0"/>
    </xf>
    <xf borderId="1" fillId="3" fontId="7" numFmtId="0" xfId="0" applyAlignment="1" applyBorder="1" applyFont="1">
      <alignment horizontal="right" shrinkToFit="0" vertical="center" wrapText="0"/>
    </xf>
    <xf borderId="1" fillId="3" fontId="6" numFmtId="49" xfId="0" applyAlignment="1" applyBorder="1" applyFont="1" applyNumberFormat="1">
      <alignment shrinkToFit="0" vertical="center" wrapText="1"/>
    </xf>
    <xf borderId="1" fillId="3" fontId="6" numFmtId="0" xfId="0" applyAlignment="1" applyBorder="1" applyFont="1">
      <alignment shrinkToFit="0" vertical="center" wrapText="1"/>
    </xf>
    <xf borderId="0" fillId="0" fontId="3" numFmtId="0" xfId="0" applyAlignment="1" applyFont="1">
      <alignment shrinkToFit="0" vertical="center" wrapText="0"/>
    </xf>
    <xf borderId="0" fillId="0" fontId="3" numFmtId="0" xfId="0" applyAlignment="1" applyFont="1">
      <alignment readingOrder="0" shrinkToFit="0" vertical="center" wrapText="0"/>
    </xf>
    <xf borderId="2" fillId="4" fontId="6" numFmtId="0" xfId="0" applyAlignment="1" applyBorder="1" applyFill="1" applyFont="1">
      <alignment shrinkToFit="0" vertical="center" wrapText="0"/>
    </xf>
    <xf borderId="2" fillId="4" fontId="8" numFmtId="0" xfId="0" applyAlignment="1" applyBorder="1" applyFont="1">
      <alignment horizontal="right" shrinkToFit="0" vertical="center" wrapText="0"/>
    </xf>
    <xf borderId="2" fillId="4" fontId="6" numFmtId="49" xfId="0" applyAlignment="1" applyBorder="1" applyFont="1" applyNumberFormat="1">
      <alignment shrinkToFit="0" vertical="center" wrapText="1"/>
    </xf>
    <xf borderId="2" fillId="4" fontId="6" numFmtId="0" xfId="0" applyAlignment="1" applyBorder="1" applyFont="1">
      <alignment shrinkToFit="0" vertical="center" wrapText="1"/>
    </xf>
    <xf borderId="3" fillId="4" fontId="6" numFmtId="0" xfId="0" applyAlignment="1" applyBorder="1" applyFont="1">
      <alignment shrinkToFit="0" vertical="center" wrapText="1"/>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49" xfId="0" applyAlignment="1" applyFont="1" applyNumberFormat="1">
      <alignment readingOrder="0" shrinkToFit="0" vertical="center" wrapText="1"/>
    </xf>
    <xf borderId="0" fillId="0" fontId="3" numFmtId="0" xfId="0" applyAlignment="1" applyFont="1">
      <alignment readingOrder="0" shrinkToFit="0" vertical="center" wrapText="1"/>
    </xf>
    <xf borderId="1" fillId="3" fontId="9" numFmtId="0" xfId="0" applyAlignment="1" applyBorder="1" applyFont="1">
      <alignment horizontal="right" shrinkToFit="0" vertical="center" wrapText="0"/>
    </xf>
    <xf borderId="4" fillId="3" fontId="6" numFmtId="0" xfId="0" applyAlignment="1" applyBorder="1" applyFont="1">
      <alignment shrinkToFit="0" vertical="center" wrapText="1"/>
    </xf>
    <xf borderId="2" fillId="4" fontId="6" numFmtId="0" xfId="0" applyAlignment="1" applyBorder="1" applyFont="1">
      <alignment shrinkToFit="0" vertical="center" wrapText="0"/>
    </xf>
    <xf borderId="2" fillId="4" fontId="9" numFmtId="0" xfId="0" applyAlignment="1" applyBorder="1" applyFont="1">
      <alignment horizontal="right" shrinkToFit="0" vertical="center" wrapText="0"/>
    </xf>
    <xf borderId="1" fillId="3" fontId="6" numFmtId="0" xfId="0" applyAlignment="1" applyBorder="1" applyFont="1">
      <alignment shrinkToFit="0" vertical="center" wrapText="0"/>
    </xf>
    <xf borderId="1" fillId="3" fontId="7" numFmtId="0" xfId="0" applyAlignment="1" applyBorder="1" applyFont="1">
      <alignment horizontal="right" shrinkToFit="0" vertical="center" wrapText="0"/>
    </xf>
    <xf borderId="2" fillId="4" fontId="7" numFmtId="0" xfId="0" applyAlignment="1" applyBorder="1" applyFont="1">
      <alignment horizontal="right" shrinkToFit="0" vertical="center" wrapText="0"/>
    </xf>
    <xf borderId="1" fillId="3" fontId="9" numFmtId="0" xfId="0" applyAlignment="1" applyBorder="1" applyFont="1">
      <alignment horizontal="right" shrinkToFit="0" vertical="center" wrapText="0"/>
    </xf>
    <xf borderId="4" fillId="3" fontId="6" numFmtId="0" xfId="0" applyAlignment="1" applyBorder="1" applyFont="1">
      <alignment shrinkToFit="0" vertical="center" wrapText="0"/>
    </xf>
    <xf borderId="2" fillId="4" fontId="9" numFmtId="0" xfId="0" applyAlignment="1" applyBorder="1" applyFont="1">
      <alignment horizontal="right" shrinkToFit="0" vertical="center" wrapText="0"/>
    </xf>
    <xf borderId="1" fillId="3" fontId="10" numFmtId="0" xfId="0" applyAlignment="1" applyBorder="1" applyFont="1">
      <alignment horizontal="right" shrinkToFit="0" vertical="center" wrapText="0"/>
    </xf>
    <xf borderId="2" fillId="4" fontId="6" numFmtId="0" xfId="0" applyAlignment="1" applyBorder="1" applyFont="1">
      <alignment readingOrder="0" shrinkToFit="0" vertical="center" wrapText="0"/>
    </xf>
    <xf borderId="2" fillId="4" fontId="8" numFmtId="0" xfId="0" applyAlignment="1" applyBorder="1" applyFont="1">
      <alignment horizontal="right" shrinkToFit="0" vertical="center" wrapText="0"/>
    </xf>
    <xf borderId="2" fillId="4" fontId="6" numFmtId="49" xfId="0" applyAlignment="1" applyBorder="1" applyFont="1" applyNumberFormat="1">
      <alignment readingOrder="0" shrinkToFit="0" vertical="center" wrapText="1"/>
    </xf>
    <xf borderId="2" fillId="4" fontId="6" numFmtId="0" xfId="0" applyAlignment="1" applyBorder="1" applyFont="1">
      <alignment readingOrder="0" shrinkToFit="0" vertical="center" wrapText="1"/>
    </xf>
    <xf borderId="1" fillId="3" fontId="6" numFmtId="49" xfId="0" applyAlignment="1" applyBorder="1" applyFont="1" applyNumberFormat="1">
      <alignment readingOrder="0" shrinkToFit="0" vertical="center" wrapText="1"/>
    </xf>
    <xf borderId="1" fillId="3" fontId="6" numFmtId="0" xfId="0" applyAlignment="1" applyBorder="1" applyFont="1">
      <alignment readingOrder="0" shrinkToFit="0" vertical="center" wrapText="1"/>
    </xf>
    <xf borderId="2" fillId="4" fontId="8" numFmtId="0" xfId="0" applyAlignment="1" applyBorder="1" applyFont="1">
      <alignment horizontal="right" readingOrder="0" shrinkToFit="0" vertical="center" wrapText="0"/>
    </xf>
    <xf borderId="1" fillId="3" fontId="8" numFmtId="0" xfId="0" applyAlignment="1" applyBorder="1" applyFont="1">
      <alignment horizontal="right" readingOrder="0" shrinkToFit="0" vertical="center" wrapText="0"/>
    </xf>
    <xf borderId="1" fillId="3" fontId="8" numFmtId="0" xfId="0" applyAlignment="1" applyBorder="1" applyFont="1">
      <alignment horizontal="right" shrinkToFit="0" vertical="center" wrapText="0"/>
    </xf>
    <xf borderId="1" fillId="4" fontId="6" numFmtId="0" xfId="0" applyAlignment="1" applyBorder="1" applyFont="1">
      <alignment shrinkToFit="0" vertical="center" wrapText="1"/>
    </xf>
    <xf borderId="4" fillId="4" fontId="6" numFmtId="0" xfId="0" applyAlignment="1" applyBorder="1" applyFont="1">
      <alignment shrinkToFit="0" vertical="center" wrapText="1"/>
    </xf>
    <xf borderId="2" fillId="4" fontId="9" numFmtId="49" xfId="0" applyAlignment="1" applyBorder="1" applyFont="1" applyNumberFormat="1">
      <alignment horizontal="right" shrinkToFit="0" vertical="center" wrapText="0"/>
    </xf>
    <xf borderId="3" fillId="4" fontId="6" numFmtId="0" xfId="0" applyAlignment="1" applyBorder="1" applyFont="1">
      <alignment shrinkToFit="0" vertical="center" wrapText="0"/>
    </xf>
    <xf borderId="2" fillId="4" fontId="7" numFmtId="0" xfId="0" applyAlignment="1" applyBorder="1" applyFont="1">
      <alignment horizontal="right" readingOrder="0" shrinkToFit="0" vertical="center" wrapText="0"/>
    </xf>
    <xf borderId="2" fillId="3" fontId="6" numFmtId="0" xfId="0" applyAlignment="1" applyBorder="1" applyFont="1">
      <alignment shrinkToFit="0" vertical="center" wrapText="1"/>
    </xf>
    <xf borderId="3" fillId="3" fontId="6" numFmtId="0" xfId="0" applyAlignment="1" applyBorder="1" applyFont="1">
      <alignment shrinkToFit="0" vertical="center" wrapText="1"/>
    </xf>
    <xf borderId="1" fillId="3" fontId="2" numFmtId="0" xfId="0" applyAlignment="1" applyBorder="1" applyFont="1">
      <alignment readingOrder="0" shrinkToFit="0" vertical="center" wrapText="0"/>
    </xf>
    <xf borderId="1" fillId="3" fontId="11" numFmtId="0" xfId="0" applyAlignment="1" applyBorder="1" applyFont="1">
      <alignment horizontal="right" shrinkToFit="0" vertical="center" wrapText="0"/>
    </xf>
    <xf borderId="1" fillId="3" fontId="2" numFmtId="0" xfId="0" applyAlignment="1" applyBorder="1" applyFont="1">
      <alignment shrinkToFit="0" vertical="center" wrapText="1"/>
    </xf>
    <xf borderId="4" fillId="3" fontId="2" numFmtId="0" xfId="0" applyAlignment="1" applyBorder="1" applyFont="1">
      <alignment shrinkToFit="0" vertical="center" wrapText="0"/>
    </xf>
    <xf borderId="5" fillId="4" fontId="6" numFmtId="0" xfId="0" applyAlignment="1" applyBorder="1" applyFont="1">
      <alignment horizontal="right" readingOrder="0" shrinkToFit="0" vertical="center" wrapText="0"/>
    </xf>
    <xf borderId="0" fillId="0" fontId="2" numFmtId="0" xfId="0" applyAlignment="1" applyFont="1">
      <alignment vertical="bottom"/>
    </xf>
    <xf borderId="1" fillId="3" fontId="8" numFmtId="0" xfId="0" applyAlignment="1" applyBorder="1" applyFont="1">
      <alignment horizontal="right" shrinkToFit="0" vertical="center" wrapText="0"/>
    </xf>
    <xf borderId="6" fillId="3" fontId="6" numFmtId="0" xfId="0" applyAlignment="1" applyBorder="1" applyFont="1">
      <alignment horizontal="right" shrinkToFit="0" vertical="center" wrapText="0"/>
    </xf>
    <xf borderId="1" fillId="3" fontId="6" numFmtId="49" xfId="0" applyAlignment="1" applyBorder="1" applyFont="1" applyNumberFormat="1">
      <alignment shrinkToFit="0" vertical="center" wrapText="0"/>
    </xf>
    <xf borderId="1" fillId="3" fontId="6" numFmtId="0" xfId="0" applyAlignment="1" applyBorder="1" applyFont="1">
      <alignment shrinkToFit="0" vertical="center" wrapText="0"/>
    </xf>
    <xf borderId="1" fillId="3" fontId="6" numFmtId="0" xfId="0" applyAlignment="1" applyBorder="1" applyFont="1">
      <alignment readingOrder="0" shrinkToFit="0" vertical="center" wrapText="0"/>
    </xf>
    <xf borderId="1" fillId="4" fontId="6" numFmtId="0" xfId="0" applyAlignment="1" applyBorder="1" applyFont="1">
      <alignment shrinkToFit="0" vertical="center" wrapText="0"/>
    </xf>
    <xf borderId="4" fillId="4" fontId="6" numFmtId="0" xfId="0" applyAlignment="1" applyBorder="1" applyFont="1">
      <alignment shrinkToFit="0" vertical="center" wrapText="0"/>
    </xf>
    <xf borderId="0" fillId="3" fontId="6" numFmtId="0" xfId="0" applyAlignment="1" applyFont="1">
      <alignment horizontal="right" shrinkToFit="0" vertical="center" wrapText="0"/>
    </xf>
    <xf borderId="0" fillId="3" fontId="6" numFmtId="0" xfId="0" applyAlignment="1" applyFont="1">
      <alignment readingOrder="0" shrinkToFit="0" vertical="center" wrapText="0"/>
    </xf>
    <xf borderId="0" fillId="3" fontId="6" numFmtId="0" xfId="0" applyAlignment="1" applyFont="1">
      <alignment shrinkToFit="0" vertical="center" wrapText="0"/>
    </xf>
    <xf borderId="0" fillId="3" fontId="7" numFmtId="0" xfId="0" applyAlignment="1" applyFont="1">
      <alignment horizontal="right" shrinkToFit="0" vertical="center" wrapText="0"/>
    </xf>
    <xf borderId="0" fillId="3" fontId="6" numFmtId="49" xfId="0" applyAlignment="1" applyFont="1" applyNumberFormat="1">
      <alignment shrinkToFit="0" vertical="center" wrapText="0"/>
    </xf>
    <xf borderId="0" fillId="4" fontId="6" numFmtId="0" xfId="0" applyAlignment="1" applyFont="1">
      <alignment shrinkToFit="0" vertical="center" wrapText="0"/>
    </xf>
    <xf borderId="0" fillId="3" fontId="6" numFmtId="0" xfId="0" applyAlignment="1" applyFont="1">
      <alignment shrinkToFit="0" vertical="center" wrapText="0"/>
    </xf>
    <xf borderId="0" fillId="0" fontId="2" numFmtId="0" xfId="0" applyAlignment="1" applyFont="1">
      <alignment shrinkToFit="0" vertical="bottom" wrapText="0"/>
    </xf>
    <xf borderId="7" fillId="2" fontId="1" numFmtId="0" xfId="0" applyAlignment="1" applyBorder="1" applyFont="1">
      <alignment readingOrder="0"/>
    </xf>
    <xf borderId="8" fillId="2" fontId="12" numFmtId="0" xfId="0" applyAlignment="1" applyBorder="1" applyFont="1">
      <alignment horizontal="left" readingOrder="0" shrinkToFit="0" wrapText="1"/>
    </xf>
    <xf borderId="9" fillId="2" fontId="12" numFmtId="0" xfId="0" applyAlignment="1" applyBorder="1" applyFont="1">
      <alignment horizontal="left" readingOrder="0" shrinkToFit="0" wrapText="1"/>
    </xf>
    <xf borderId="0" fillId="0" fontId="1" numFmtId="0" xfId="0" applyAlignment="1" applyFont="1">
      <alignment readingOrder="0"/>
    </xf>
    <xf borderId="10" fillId="0" fontId="0" numFmtId="0" xfId="0" applyAlignment="1" applyBorder="1" applyFont="1">
      <alignment readingOrder="0"/>
    </xf>
    <xf borderId="0" fillId="0" fontId="13" numFmtId="0" xfId="0" applyFont="1"/>
    <xf borderId="0" fillId="3" fontId="14" numFmtId="0" xfId="0" applyFont="1"/>
    <xf borderId="11" fillId="0" fontId="13" numFmtId="0" xfId="0" applyBorder="1" applyFont="1"/>
    <xf borderId="10" fillId="0" fontId="0" numFmtId="0" xfId="0" applyAlignment="1" applyBorder="1" applyFont="1">
      <alignment horizontal="left" readingOrder="0" shrinkToFit="0" wrapText="1"/>
    </xf>
    <xf borderId="11" fillId="3" fontId="14" numFmtId="0" xfId="0" applyBorder="1" applyFont="1"/>
    <xf borderId="0" fillId="3" fontId="15" numFmtId="0" xfId="0" applyFont="1"/>
    <xf borderId="12" fillId="0" fontId="1" numFmtId="0" xfId="0" applyAlignment="1" applyBorder="1" applyFont="1">
      <alignment readingOrder="0"/>
    </xf>
    <xf borderId="13" fillId="0" fontId="13" numFmtId="0" xfId="0" applyBorder="1" applyFont="1"/>
    <xf borderId="14" fillId="0" fontId="13" numFmtId="0" xfId="0" applyBorder="1" applyFont="1"/>
    <xf borderId="0" fillId="0" fontId="16" numFmtId="0" xfId="0" applyAlignment="1" applyFont="1">
      <alignment vertical="bottom"/>
    </xf>
    <xf borderId="0" fillId="0" fontId="16" numFmtId="0" xfId="0" applyAlignment="1" applyFont="1">
      <alignment readingOrder="0" vertical="bottom"/>
    </xf>
    <xf borderId="0" fillId="0" fontId="4" numFmtId="0" xfId="0" applyAlignment="1" applyFont="1">
      <alignment horizontal="center" readingOrder="0"/>
    </xf>
    <xf borderId="0" fillId="2" fontId="1" numFmtId="0" xfId="0" applyAlignment="1" applyFont="1">
      <alignment horizontal="center" readingOrder="0"/>
    </xf>
    <xf borderId="0" fillId="0" fontId="3" numFmtId="0" xfId="0" applyAlignment="1" applyFont="1">
      <alignment readingOrder="0"/>
    </xf>
    <xf borderId="0" fillId="3" fontId="15" numFmtId="0" xfId="0" applyAlignment="1" applyFont="1">
      <alignment horizontal="center"/>
    </xf>
    <xf borderId="0" fillId="0" fontId="3" numFmtId="0" xfId="0" applyAlignment="1" applyFont="1">
      <alignment horizontal="center"/>
    </xf>
    <xf borderId="7" fillId="5" fontId="16" numFmtId="0" xfId="0" applyAlignment="1" applyBorder="1" applyFill="1" applyFont="1">
      <alignment readingOrder="0" vertical="bottom"/>
    </xf>
    <xf borderId="8" fillId="0" fontId="17" numFmtId="0" xfId="0" applyBorder="1" applyFont="1"/>
    <xf borderId="9" fillId="0" fontId="17" numFmtId="0" xfId="0" applyBorder="1" applyFont="1"/>
    <xf borderId="0" fillId="0" fontId="5"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Group Heuristic Evalu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12</xdr:row>
      <xdr:rowOff>0</xdr:rowOff>
    </xdr:from>
    <xdr:ext cx="857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0:I48" displayName="Group_Heuristic_Evaluations" name="Group_Heuristic_Evaluations" id="1">
  <autoFilter ref="$A$10:$I$48"/>
  <tableColumns count="9">
    <tableColumn name="Problem #" id="1"/>
    <tableColumn name="Heuristic " id="2"/>
    <tableColumn name="Task" id="3"/>
    <tableColumn name="Severity" id="4"/>
    <tableColumn name="Description" id="5"/>
    <tableColumn name="Rationale" id="6"/>
    <tableColumn name="Fix" id="7"/>
    <tableColumn name="Images" id="8"/>
    <tableColumn name="Found by" id="9"/>
  </tableColumns>
  <tableStyleInfo name="Group Heuristic Evalu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42.63"/>
    <col customWidth="1" min="3" max="3" width="22.63"/>
    <col customWidth="1" min="4" max="4" width="18.0"/>
    <col customWidth="1" min="5" max="5" width="32.5"/>
    <col customWidth="1" min="6" max="6" width="26.0"/>
    <col customWidth="1" min="7" max="7" width="35.38"/>
    <col customWidth="1" min="8" max="10" width="22.63"/>
    <col customWidth="1" min="11" max="11" width="15.13"/>
  </cols>
  <sheetData>
    <row r="1" ht="35.25" customHeight="1">
      <c r="A1" s="1" t="s">
        <v>0</v>
      </c>
      <c r="B1" s="2" t="s">
        <v>1</v>
      </c>
      <c r="F1" s="3"/>
      <c r="G1" s="4"/>
    </row>
    <row r="2">
      <c r="A2" s="3"/>
      <c r="B2" s="3"/>
      <c r="C2" s="3"/>
      <c r="D2" s="3"/>
      <c r="E2" s="3"/>
      <c r="F2" s="3"/>
      <c r="G2" s="3"/>
    </row>
    <row r="3">
      <c r="A3" s="3"/>
      <c r="B3" s="3"/>
      <c r="C3" s="3"/>
      <c r="D3" s="5"/>
      <c r="F3" s="3"/>
      <c r="G3" s="6"/>
    </row>
    <row r="4">
      <c r="A4" s="7" t="s">
        <v>2</v>
      </c>
      <c r="B4" s="5" t="s">
        <v>3</v>
      </c>
      <c r="C4" s="5"/>
      <c r="D4" s="7" t="s">
        <v>4</v>
      </c>
      <c r="E4" s="5"/>
      <c r="F4" s="3"/>
      <c r="G4" s="3"/>
    </row>
    <row r="5">
      <c r="A5" s="7" t="s">
        <v>5</v>
      </c>
      <c r="B5" s="8" t="s">
        <v>6</v>
      </c>
      <c r="C5" s="8"/>
      <c r="D5" s="7" t="s">
        <v>7</v>
      </c>
      <c r="E5" s="9"/>
      <c r="F5" s="3"/>
      <c r="G5" s="1"/>
    </row>
    <row r="6">
      <c r="A6" s="7" t="s">
        <v>8</v>
      </c>
      <c r="B6" s="8" t="s">
        <v>9</v>
      </c>
      <c r="C6" s="10"/>
      <c r="D6" s="7" t="s">
        <v>10</v>
      </c>
      <c r="E6" s="9"/>
      <c r="F6" s="3"/>
      <c r="G6" s="3"/>
    </row>
    <row r="7">
      <c r="A7" s="3"/>
      <c r="B7" s="3"/>
      <c r="C7" s="3"/>
      <c r="D7" s="7" t="s">
        <v>11</v>
      </c>
      <c r="E7" s="5"/>
      <c r="F7" s="3"/>
      <c r="G7" s="3"/>
    </row>
    <row r="8">
      <c r="A8" s="3"/>
      <c r="B8" s="3"/>
      <c r="C8" s="3"/>
      <c r="D8" s="3"/>
      <c r="E8" s="3"/>
      <c r="F8" s="3"/>
      <c r="G8" s="3"/>
    </row>
    <row r="9">
      <c r="A9" s="3"/>
      <c r="B9" s="3"/>
      <c r="C9" s="3"/>
      <c r="D9" s="3"/>
      <c r="E9" s="5"/>
      <c r="F9" s="5" t="s">
        <v>12</v>
      </c>
      <c r="G9" s="3"/>
    </row>
    <row r="10" ht="22.5" customHeight="1">
      <c r="A10" s="11" t="s">
        <v>13</v>
      </c>
      <c r="B10" s="11" t="s">
        <v>14</v>
      </c>
      <c r="C10" s="11" t="s">
        <v>15</v>
      </c>
      <c r="D10" s="11" t="s">
        <v>16</v>
      </c>
      <c r="E10" s="11" t="s">
        <v>17</v>
      </c>
      <c r="F10" s="11" t="s">
        <v>18</v>
      </c>
      <c r="G10" s="11" t="s">
        <v>19</v>
      </c>
      <c r="H10" s="11" t="s">
        <v>20</v>
      </c>
      <c r="I10" s="11" t="s">
        <v>21</v>
      </c>
    </row>
    <row r="11" ht="22.5" customHeight="1">
      <c r="A11" s="12">
        <f t="shared" ref="A11:A38" si="1">ROW() - 10</f>
        <v>1</v>
      </c>
      <c r="B11" s="13" t="s">
        <v>22</v>
      </c>
      <c r="C11" s="13" t="s">
        <v>23</v>
      </c>
      <c r="D11" s="14">
        <v>1.0</v>
      </c>
      <c r="E11" s="15" t="s">
        <v>24</v>
      </c>
      <c r="F11" s="16" t="s">
        <v>25</v>
      </c>
      <c r="G11" s="16" t="s">
        <v>26</v>
      </c>
      <c r="H11" s="17"/>
      <c r="I11" s="18" t="s">
        <v>27</v>
      </c>
    </row>
    <row r="12" ht="22.5" customHeight="1">
      <c r="A12" s="12">
        <f t="shared" si="1"/>
        <v>2</v>
      </c>
      <c r="B12" s="19" t="s">
        <v>28</v>
      </c>
      <c r="C12" s="19" t="s">
        <v>29</v>
      </c>
      <c r="D12" s="20">
        <v>2.0</v>
      </c>
      <c r="E12" s="21" t="s">
        <v>30</v>
      </c>
      <c r="F12" s="22" t="s">
        <v>31</v>
      </c>
      <c r="G12" s="23" t="s">
        <v>32</v>
      </c>
      <c r="H12" s="17"/>
      <c r="I12" s="18" t="s">
        <v>27</v>
      </c>
    </row>
    <row r="13" ht="22.5" customHeight="1">
      <c r="A13" s="12">
        <f t="shared" si="1"/>
        <v>3</v>
      </c>
      <c r="B13" s="24" t="s">
        <v>33</v>
      </c>
      <c r="C13" s="25" t="s">
        <v>29</v>
      </c>
      <c r="D13" s="25">
        <v>4.0</v>
      </c>
      <c r="E13" s="26" t="s">
        <v>34</v>
      </c>
      <c r="F13" s="27" t="s">
        <v>35</v>
      </c>
      <c r="G13" s="27" t="s">
        <v>36</v>
      </c>
      <c r="H13" s="17"/>
      <c r="I13" s="18" t="s">
        <v>37</v>
      </c>
    </row>
    <row r="14" ht="22.5" customHeight="1">
      <c r="A14" s="12">
        <f t="shared" si="1"/>
        <v>4</v>
      </c>
      <c r="B14" s="13" t="s">
        <v>38</v>
      </c>
      <c r="C14" s="13" t="s">
        <v>39</v>
      </c>
      <c r="D14" s="28">
        <v>3.0</v>
      </c>
      <c r="E14" s="15" t="s">
        <v>40</v>
      </c>
      <c r="F14" s="16" t="s">
        <v>41</v>
      </c>
      <c r="G14" s="29" t="s">
        <v>42</v>
      </c>
      <c r="H14" s="17"/>
      <c r="I14" s="18" t="s">
        <v>37</v>
      </c>
    </row>
    <row r="15" ht="22.5" customHeight="1">
      <c r="A15" s="12">
        <f t="shared" si="1"/>
        <v>5</v>
      </c>
      <c r="B15" s="30" t="s">
        <v>33</v>
      </c>
      <c r="C15" s="30" t="s">
        <v>39</v>
      </c>
      <c r="D15" s="31">
        <v>3.0</v>
      </c>
      <c r="E15" s="21" t="s">
        <v>43</v>
      </c>
      <c r="F15" s="22" t="s">
        <v>44</v>
      </c>
      <c r="G15" s="23" t="s">
        <v>45</v>
      </c>
      <c r="H15" s="17"/>
      <c r="I15" s="18" t="s">
        <v>37</v>
      </c>
    </row>
    <row r="16" ht="22.5" customHeight="1">
      <c r="A16" s="12">
        <f t="shared" si="1"/>
        <v>6</v>
      </c>
      <c r="B16" s="30" t="s">
        <v>33</v>
      </c>
      <c r="C16" s="30" t="s">
        <v>39</v>
      </c>
      <c r="D16" s="31">
        <v>3.0</v>
      </c>
      <c r="E16" s="21" t="s">
        <v>46</v>
      </c>
      <c r="F16" s="22" t="s">
        <v>47</v>
      </c>
      <c r="G16" s="22" t="s">
        <v>48</v>
      </c>
      <c r="H16" s="17"/>
      <c r="I16" s="18" t="s">
        <v>37</v>
      </c>
    </row>
    <row r="17" ht="22.5" customHeight="1">
      <c r="A17" s="12">
        <f t="shared" si="1"/>
        <v>7</v>
      </c>
      <c r="B17" s="32" t="s">
        <v>22</v>
      </c>
      <c r="C17" s="32" t="s">
        <v>39</v>
      </c>
      <c r="D17" s="33">
        <v>1.0</v>
      </c>
      <c r="E17" s="15" t="s">
        <v>49</v>
      </c>
      <c r="F17" s="16" t="s">
        <v>50</v>
      </c>
      <c r="G17" s="16" t="s">
        <v>51</v>
      </c>
      <c r="H17" s="17"/>
      <c r="I17" s="18" t="s">
        <v>37</v>
      </c>
    </row>
    <row r="18" ht="22.5" customHeight="1">
      <c r="A18" s="12">
        <f t="shared" si="1"/>
        <v>8</v>
      </c>
      <c r="B18" s="24" t="s">
        <v>52</v>
      </c>
      <c r="C18" s="30" t="s">
        <v>39</v>
      </c>
      <c r="D18" s="34">
        <v>1.0</v>
      </c>
      <c r="E18" s="21" t="s">
        <v>53</v>
      </c>
      <c r="F18" s="22" t="s">
        <v>54</v>
      </c>
      <c r="G18" s="22" t="s">
        <v>55</v>
      </c>
      <c r="H18" s="17"/>
      <c r="I18" s="18" t="s">
        <v>37</v>
      </c>
    </row>
    <row r="19" ht="22.5" customHeight="1">
      <c r="A19" s="12">
        <f t="shared" si="1"/>
        <v>9</v>
      </c>
      <c r="B19" s="32" t="s">
        <v>56</v>
      </c>
      <c r="C19" s="32" t="s">
        <v>39</v>
      </c>
      <c r="D19" s="35">
        <v>3.0</v>
      </c>
      <c r="E19" s="15" t="s">
        <v>57</v>
      </c>
      <c r="F19" s="16" t="s">
        <v>58</v>
      </c>
      <c r="G19" s="29" t="s">
        <v>59</v>
      </c>
      <c r="H19" s="36"/>
      <c r="I19" s="18" t="s">
        <v>37</v>
      </c>
    </row>
    <row r="20" ht="22.5" customHeight="1">
      <c r="A20" s="12">
        <f t="shared" si="1"/>
        <v>10</v>
      </c>
      <c r="B20" s="30" t="s">
        <v>33</v>
      </c>
      <c r="C20" s="30" t="s">
        <v>60</v>
      </c>
      <c r="D20" s="37">
        <v>3.0</v>
      </c>
      <c r="E20" s="21" t="s">
        <v>61</v>
      </c>
      <c r="F20" s="22" t="s">
        <v>62</v>
      </c>
      <c r="G20" s="22" t="s">
        <v>63</v>
      </c>
      <c r="H20" s="17"/>
      <c r="I20" s="18" t="s">
        <v>37</v>
      </c>
    </row>
    <row r="21" ht="22.5" customHeight="1">
      <c r="A21" s="12">
        <f t="shared" si="1"/>
        <v>11</v>
      </c>
      <c r="B21" s="32" t="s">
        <v>64</v>
      </c>
      <c r="C21" s="32" t="s">
        <v>60</v>
      </c>
      <c r="D21" s="38">
        <v>3.0</v>
      </c>
      <c r="E21" s="15" t="s">
        <v>65</v>
      </c>
      <c r="F21" s="16" t="s">
        <v>66</v>
      </c>
      <c r="G21" s="16" t="s">
        <v>67</v>
      </c>
      <c r="H21" s="17"/>
      <c r="I21" s="18" t="s">
        <v>37</v>
      </c>
    </row>
    <row r="22" ht="22.5" customHeight="1">
      <c r="A22" s="12">
        <f t="shared" si="1"/>
        <v>12</v>
      </c>
      <c r="B22" s="39" t="s">
        <v>28</v>
      </c>
      <c r="C22" s="30" t="s">
        <v>39</v>
      </c>
      <c r="D22" s="40">
        <v>2.0</v>
      </c>
      <c r="E22" s="41" t="s">
        <v>68</v>
      </c>
      <c r="F22" s="42" t="s">
        <v>69</v>
      </c>
      <c r="G22" s="22" t="s">
        <v>70</v>
      </c>
      <c r="H22" s="17"/>
      <c r="I22" s="18" t="s">
        <v>37</v>
      </c>
    </row>
    <row r="23" ht="22.5" customHeight="1">
      <c r="A23" s="12">
        <f t="shared" si="1"/>
        <v>13</v>
      </c>
      <c r="B23" s="32" t="s">
        <v>22</v>
      </c>
      <c r="C23" s="32" t="s">
        <v>71</v>
      </c>
      <c r="D23" s="33">
        <v>1.0</v>
      </c>
      <c r="E23" s="43" t="s">
        <v>72</v>
      </c>
      <c r="F23" s="16" t="s">
        <v>73</v>
      </c>
      <c r="G23" s="44" t="s">
        <v>74</v>
      </c>
      <c r="H23" s="17"/>
      <c r="I23" s="18" t="s">
        <v>37</v>
      </c>
    </row>
    <row r="24" ht="22.5" customHeight="1">
      <c r="A24" s="12">
        <f t="shared" si="1"/>
        <v>14</v>
      </c>
      <c r="B24" s="32" t="s">
        <v>75</v>
      </c>
      <c r="C24" s="32" t="s">
        <v>71</v>
      </c>
      <c r="D24" s="33">
        <v>1.0</v>
      </c>
      <c r="E24" s="15" t="s">
        <v>76</v>
      </c>
      <c r="F24" s="16" t="s">
        <v>77</v>
      </c>
      <c r="G24" s="16" t="s">
        <v>78</v>
      </c>
      <c r="H24" s="17"/>
      <c r="I24" s="18" t="s">
        <v>37</v>
      </c>
    </row>
    <row r="25" ht="22.5" customHeight="1">
      <c r="A25" s="12">
        <f t="shared" si="1"/>
        <v>15</v>
      </c>
      <c r="B25" s="32" t="s">
        <v>75</v>
      </c>
      <c r="C25" s="32" t="s">
        <v>71</v>
      </c>
      <c r="D25" s="33">
        <v>1.0</v>
      </c>
      <c r="E25" s="15" t="s">
        <v>76</v>
      </c>
      <c r="F25" s="16" t="s">
        <v>77</v>
      </c>
      <c r="G25" s="16" t="s">
        <v>78</v>
      </c>
      <c r="H25" s="17"/>
      <c r="I25" s="18" t="s">
        <v>79</v>
      </c>
    </row>
    <row r="26" ht="22.5" customHeight="1">
      <c r="A26" s="12">
        <f t="shared" si="1"/>
        <v>16</v>
      </c>
      <c r="B26" s="30" t="s">
        <v>80</v>
      </c>
      <c r="C26" s="30" t="s">
        <v>71</v>
      </c>
      <c r="D26" s="45">
        <v>2.0</v>
      </c>
      <c r="E26" s="21" t="s">
        <v>81</v>
      </c>
      <c r="F26" s="22" t="s">
        <v>82</v>
      </c>
      <c r="G26" s="22" t="s">
        <v>83</v>
      </c>
      <c r="H26" s="17"/>
      <c r="I26" s="18" t="s">
        <v>79</v>
      </c>
    </row>
    <row r="27" ht="22.5" customHeight="1">
      <c r="A27" s="12">
        <f t="shared" si="1"/>
        <v>17</v>
      </c>
      <c r="B27" s="32" t="s">
        <v>84</v>
      </c>
      <c r="C27" s="32" t="s">
        <v>71</v>
      </c>
      <c r="D27" s="46">
        <v>1.0</v>
      </c>
      <c r="E27" s="15" t="s">
        <v>85</v>
      </c>
      <c r="F27" s="16" t="s">
        <v>86</v>
      </c>
      <c r="G27" s="16" t="s">
        <v>87</v>
      </c>
      <c r="H27" s="17"/>
      <c r="I27" s="18" t="s">
        <v>79</v>
      </c>
    </row>
    <row r="28" ht="22.5" customHeight="1">
      <c r="A28" s="12">
        <f t="shared" si="1"/>
        <v>18</v>
      </c>
      <c r="B28" s="32" t="s">
        <v>88</v>
      </c>
      <c r="C28" s="32" t="s">
        <v>29</v>
      </c>
      <c r="D28" s="47">
        <v>2.0</v>
      </c>
      <c r="E28" s="15" t="s">
        <v>89</v>
      </c>
      <c r="F28" s="16" t="s">
        <v>90</v>
      </c>
      <c r="G28" s="16" t="s">
        <v>91</v>
      </c>
      <c r="H28" s="17"/>
      <c r="I28" s="18" t="s">
        <v>79</v>
      </c>
    </row>
    <row r="29" ht="22.5" customHeight="1">
      <c r="A29" s="12">
        <f t="shared" si="1"/>
        <v>19</v>
      </c>
      <c r="B29" s="30" t="s">
        <v>88</v>
      </c>
      <c r="C29" s="30" t="s">
        <v>23</v>
      </c>
      <c r="D29" s="34">
        <v>1.0</v>
      </c>
      <c r="E29" s="21" t="s">
        <v>92</v>
      </c>
      <c r="F29" s="22" t="s">
        <v>93</v>
      </c>
      <c r="G29" s="22" t="s">
        <v>94</v>
      </c>
      <c r="H29" s="17"/>
      <c r="I29" s="18" t="s">
        <v>79</v>
      </c>
    </row>
    <row r="30" ht="22.5" customHeight="1">
      <c r="A30" s="12">
        <f t="shared" si="1"/>
        <v>20</v>
      </c>
      <c r="B30" s="32" t="s">
        <v>56</v>
      </c>
      <c r="C30" s="32" t="s">
        <v>71</v>
      </c>
      <c r="D30" s="47">
        <v>2.0</v>
      </c>
      <c r="E30" s="15" t="s">
        <v>95</v>
      </c>
      <c r="F30" s="48" t="s">
        <v>96</v>
      </c>
      <c r="G30" s="49" t="s">
        <v>97</v>
      </c>
      <c r="H30" s="36"/>
      <c r="I30" s="18" t="s">
        <v>79</v>
      </c>
    </row>
    <row r="31" ht="22.5" customHeight="1">
      <c r="A31" s="12">
        <f t="shared" si="1"/>
        <v>21</v>
      </c>
      <c r="B31" s="32" t="s">
        <v>98</v>
      </c>
      <c r="C31" s="32" t="s">
        <v>71</v>
      </c>
      <c r="D31" s="47">
        <v>2.0</v>
      </c>
      <c r="E31" s="15" t="s">
        <v>99</v>
      </c>
      <c r="F31" s="44" t="s">
        <v>100</v>
      </c>
      <c r="G31" s="44" t="s">
        <v>101</v>
      </c>
      <c r="H31" s="17"/>
      <c r="I31" s="18" t="s">
        <v>79</v>
      </c>
    </row>
    <row r="32" ht="22.5" customHeight="1">
      <c r="A32" s="12">
        <f t="shared" si="1"/>
        <v>22</v>
      </c>
      <c r="B32" s="30" t="s">
        <v>33</v>
      </c>
      <c r="C32" s="19" t="s">
        <v>39</v>
      </c>
      <c r="D32" s="50">
        <v>3.0</v>
      </c>
      <c r="E32" s="21" t="s">
        <v>102</v>
      </c>
      <c r="F32" s="22" t="s">
        <v>103</v>
      </c>
      <c r="G32" s="23" t="s">
        <v>104</v>
      </c>
      <c r="H32" s="51"/>
      <c r="I32" s="18" t="s">
        <v>79</v>
      </c>
    </row>
    <row r="33" ht="22.5" customHeight="1">
      <c r="A33" s="12">
        <f t="shared" si="1"/>
        <v>23</v>
      </c>
      <c r="B33" s="30" t="s">
        <v>33</v>
      </c>
      <c r="C33" s="30" t="s">
        <v>39</v>
      </c>
      <c r="D33" s="52">
        <v>2.0</v>
      </c>
      <c r="E33" s="21" t="s">
        <v>105</v>
      </c>
      <c r="F33" s="53" t="s">
        <v>106</v>
      </c>
      <c r="G33" s="54" t="s">
        <v>107</v>
      </c>
      <c r="H33" s="51"/>
      <c r="I33" s="18" t="s">
        <v>108</v>
      </c>
    </row>
    <row r="34" ht="22.5" customHeight="1">
      <c r="A34" s="12">
        <f t="shared" si="1"/>
        <v>24</v>
      </c>
      <c r="B34" s="30" t="s">
        <v>22</v>
      </c>
      <c r="C34" s="30" t="s">
        <v>60</v>
      </c>
      <c r="D34" s="34">
        <v>1.0</v>
      </c>
      <c r="E34" s="21" t="s">
        <v>109</v>
      </c>
      <c r="F34" s="22" t="s">
        <v>110</v>
      </c>
      <c r="G34" s="23" t="s">
        <v>111</v>
      </c>
      <c r="H34" s="51"/>
      <c r="I34" s="18" t="s">
        <v>108</v>
      </c>
    </row>
    <row r="35" ht="22.5" customHeight="1">
      <c r="A35" s="12">
        <f t="shared" si="1"/>
        <v>25</v>
      </c>
      <c r="B35" s="32" t="s">
        <v>33</v>
      </c>
      <c r="C35" s="32" t="s">
        <v>60</v>
      </c>
      <c r="D35" s="33">
        <v>1.0</v>
      </c>
      <c r="E35" s="15" t="s">
        <v>112</v>
      </c>
      <c r="F35" s="16" t="s">
        <v>113</v>
      </c>
      <c r="G35" s="29" t="s">
        <v>114</v>
      </c>
      <c r="H35" s="36"/>
      <c r="I35" s="18" t="s">
        <v>115</v>
      </c>
    </row>
    <row r="36" ht="22.5" customHeight="1">
      <c r="A36" s="12">
        <f t="shared" si="1"/>
        <v>26</v>
      </c>
      <c r="B36" s="30" t="s">
        <v>33</v>
      </c>
      <c r="C36" s="30" t="s">
        <v>71</v>
      </c>
      <c r="D36" s="34">
        <v>1.0</v>
      </c>
      <c r="E36" s="21" t="s">
        <v>116</v>
      </c>
      <c r="F36" s="22" t="s">
        <v>117</v>
      </c>
      <c r="G36" s="23" t="s">
        <v>118</v>
      </c>
      <c r="H36" s="51"/>
      <c r="I36" s="18" t="s">
        <v>115</v>
      </c>
    </row>
    <row r="37" ht="22.5" customHeight="1">
      <c r="A37" s="12">
        <f t="shared" si="1"/>
        <v>27</v>
      </c>
      <c r="B37" s="30" t="s">
        <v>33</v>
      </c>
      <c r="C37" s="30" t="s">
        <v>71</v>
      </c>
      <c r="D37" s="34">
        <v>1.0</v>
      </c>
      <c r="E37" s="21" t="s">
        <v>119</v>
      </c>
      <c r="F37" s="53" t="s">
        <v>120</v>
      </c>
      <c r="G37" s="54" t="s">
        <v>121</v>
      </c>
      <c r="H37" s="51"/>
      <c r="I37" s="18" t="s">
        <v>115</v>
      </c>
    </row>
    <row r="38" ht="22.5" customHeight="1">
      <c r="A38" s="12">
        <f t="shared" si="1"/>
        <v>28</v>
      </c>
      <c r="B38" s="55" t="s">
        <v>52</v>
      </c>
      <c r="C38" s="32" t="s">
        <v>23</v>
      </c>
      <c r="D38" s="56">
        <v>0.0</v>
      </c>
      <c r="E38" s="15" t="s">
        <v>122</v>
      </c>
      <c r="F38" s="57"/>
      <c r="G38" s="57"/>
      <c r="H38" s="58"/>
      <c r="I38" s="18" t="s">
        <v>115</v>
      </c>
    </row>
    <row r="39" ht="22.5" customHeight="1">
      <c r="A39" s="59">
        <v>29.0</v>
      </c>
      <c r="B39" s="30" t="s">
        <v>56</v>
      </c>
      <c r="C39" s="30" t="s">
        <v>39</v>
      </c>
      <c r="D39" s="37">
        <v>3.0</v>
      </c>
      <c r="E39" s="21" t="s">
        <v>123</v>
      </c>
      <c r="F39" s="53" t="s">
        <v>124</v>
      </c>
      <c r="G39" s="54" t="s">
        <v>125</v>
      </c>
      <c r="H39" s="51"/>
      <c r="I39" s="18" t="s">
        <v>126</v>
      </c>
      <c r="J39" s="60"/>
      <c r="K39" s="60"/>
      <c r="L39" s="60"/>
      <c r="M39" s="60"/>
      <c r="N39" s="60"/>
      <c r="O39" s="60"/>
      <c r="P39" s="60"/>
      <c r="Q39" s="60"/>
      <c r="R39" s="60"/>
      <c r="S39" s="60"/>
      <c r="T39" s="60"/>
      <c r="U39" s="60"/>
      <c r="V39" s="60"/>
      <c r="W39" s="60"/>
      <c r="X39" s="60"/>
      <c r="Y39" s="60"/>
      <c r="Z39" s="60"/>
      <c r="AA39" s="60"/>
      <c r="AB39" s="60"/>
      <c r="AC39" s="60"/>
      <c r="AD39" s="60"/>
      <c r="AE39" s="60"/>
      <c r="AF39" s="60"/>
    </row>
    <row r="40" ht="22.5" customHeight="1">
      <c r="A40" s="59">
        <v>30.0</v>
      </c>
      <c r="B40" s="13" t="s">
        <v>98</v>
      </c>
      <c r="C40" s="13" t="s">
        <v>39</v>
      </c>
      <c r="D40" s="61">
        <v>2.0</v>
      </c>
      <c r="E40" s="15" t="s">
        <v>127</v>
      </c>
      <c r="F40" s="16" t="s">
        <v>128</v>
      </c>
      <c r="G40" s="29" t="s">
        <v>129</v>
      </c>
      <c r="H40" s="36"/>
      <c r="I40" s="18" t="s">
        <v>126</v>
      </c>
      <c r="J40" s="60"/>
      <c r="K40" s="60"/>
      <c r="L40" s="60"/>
      <c r="M40" s="60"/>
      <c r="N40" s="60"/>
      <c r="O40" s="60"/>
      <c r="P40" s="60"/>
      <c r="Q40" s="60"/>
      <c r="R40" s="60"/>
      <c r="S40" s="60"/>
      <c r="T40" s="60"/>
      <c r="U40" s="60"/>
      <c r="V40" s="60"/>
      <c r="W40" s="60"/>
      <c r="X40" s="60"/>
      <c r="Y40" s="60"/>
      <c r="Z40" s="60"/>
      <c r="AA40" s="60"/>
      <c r="AB40" s="60"/>
      <c r="AC40" s="60"/>
      <c r="AD40" s="60"/>
      <c r="AE40" s="60"/>
      <c r="AF40" s="60"/>
    </row>
    <row r="41" ht="22.5" customHeight="1">
      <c r="A41" s="59">
        <v>31.0</v>
      </c>
      <c r="B41" s="30" t="s">
        <v>33</v>
      </c>
      <c r="C41" s="30" t="s">
        <v>60</v>
      </c>
      <c r="D41" s="34">
        <v>1.0</v>
      </c>
      <c r="E41" s="21" t="s">
        <v>130</v>
      </c>
      <c r="F41" s="22" t="s">
        <v>131</v>
      </c>
      <c r="G41" s="23" t="s">
        <v>132</v>
      </c>
      <c r="H41" s="51"/>
      <c r="I41" s="18" t="s">
        <v>126</v>
      </c>
      <c r="J41" s="60"/>
      <c r="K41" s="60"/>
      <c r="L41" s="60"/>
      <c r="M41" s="60"/>
      <c r="N41" s="60"/>
      <c r="O41" s="60"/>
      <c r="P41" s="60"/>
      <c r="Q41" s="60"/>
      <c r="R41" s="60"/>
      <c r="S41" s="60"/>
      <c r="T41" s="60"/>
      <c r="U41" s="60"/>
      <c r="V41" s="60"/>
      <c r="W41" s="60"/>
      <c r="X41" s="60"/>
      <c r="Y41" s="60"/>
      <c r="Z41" s="60"/>
      <c r="AA41" s="60"/>
      <c r="AB41" s="60"/>
      <c r="AC41" s="60"/>
      <c r="AD41" s="60"/>
      <c r="AE41" s="60"/>
      <c r="AF41" s="60"/>
    </row>
    <row r="42" ht="22.5" customHeight="1">
      <c r="A42" s="62">
        <f t="shared" ref="A42:A48" si="2">ROW() - 8</f>
        <v>34</v>
      </c>
      <c r="B42" s="32" t="s">
        <v>98</v>
      </c>
      <c r="C42" s="32" t="s">
        <v>60</v>
      </c>
      <c r="D42" s="33">
        <v>1.0</v>
      </c>
      <c r="E42" s="43" t="s">
        <v>133</v>
      </c>
      <c r="F42" s="16" t="s">
        <v>134</v>
      </c>
      <c r="G42" s="29" t="s">
        <v>135</v>
      </c>
      <c r="H42" s="36"/>
      <c r="I42" s="18" t="s">
        <v>126</v>
      </c>
      <c r="J42" s="60"/>
      <c r="K42" s="60"/>
      <c r="L42" s="60"/>
      <c r="M42" s="60"/>
      <c r="N42" s="60"/>
      <c r="O42" s="60"/>
      <c r="P42" s="60"/>
      <c r="Q42" s="60"/>
      <c r="R42" s="60"/>
      <c r="S42" s="60"/>
      <c r="T42" s="60"/>
      <c r="U42" s="60"/>
      <c r="V42" s="60"/>
      <c r="W42" s="60"/>
      <c r="X42" s="60"/>
      <c r="Y42" s="60"/>
      <c r="Z42" s="60"/>
      <c r="AA42" s="60"/>
      <c r="AB42" s="60"/>
      <c r="AC42" s="60"/>
      <c r="AD42" s="60"/>
      <c r="AE42" s="60"/>
      <c r="AF42" s="60"/>
    </row>
    <row r="43" ht="22.5" customHeight="1">
      <c r="A43" s="62">
        <f t="shared" si="2"/>
        <v>35</v>
      </c>
      <c r="B43" s="32" t="s">
        <v>80</v>
      </c>
      <c r="C43" s="32" t="s">
        <v>60</v>
      </c>
      <c r="D43" s="47">
        <v>2.0</v>
      </c>
      <c r="E43" s="63" t="s">
        <v>136</v>
      </c>
      <c r="F43" s="64" t="s">
        <v>137</v>
      </c>
      <c r="G43" s="36" t="s">
        <v>138</v>
      </c>
      <c r="H43" s="36"/>
      <c r="I43" s="18" t="s">
        <v>126</v>
      </c>
      <c r="J43" s="60"/>
      <c r="K43" s="60"/>
      <c r="L43" s="60"/>
      <c r="M43" s="60"/>
      <c r="N43" s="60"/>
      <c r="O43" s="60"/>
      <c r="P43" s="60"/>
      <c r="Q43" s="60"/>
      <c r="R43" s="60"/>
      <c r="S43" s="60"/>
      <c r="T43" s="60"/>
      <c r="U43" s="60"/>
      <c r="V43" s="60"/>
      <c r="W43" s="60"/>
      <c r="X43" s="60"/>
      <c r="Y43" s="60"/>
      <c r="Z43" s="60"/>
      <c r="AA43" s="60"/>
      <c r="AB43" s="60"/>
      <c r="AC43" s="60"/>
      <c r="AD43" s="60"/>
      <c r="AE43" s="60"/>
      <c r="AF43" s="60"/>
    </row>
    <row r="44" ht="22.5" customHeight="1">
      <c r="A44" s="62">
        <f t="shared" si="2"/>
        <v>36</v>
      </c>
      <c r="B44" s="65" t="s">
        <v>28</v>
      </c>
      <c r="C44" s="32" t="s">
        <v>60</v>
      </c>
      <c r="D44" s="33">
        <v>1.0</v>
      </c>
      <c r="E44" s="63" t="s">
        <v>139</v>
      </c>
      <c r="F44" s="66" t="s">
        <v>140</v>
      </c>
      <c r="G44" s="67" t="s">
        <v>141</v>
      </c>
      <c r="H44" s="36"/>
      <c r="I44" s="18" t="s">
        <v>126</v>
      </c>
      <c r="J44" s="60"/>
      <c r="K44" s="60"/>
      <c r="L44" s="60"/>
      <c r="M44" s="60"/>
      <c r="N44" s="60"/>
      <c r="O44" s="60"/>
      <c r="P44" s="60"/>
      <c r="Q44" s="60"/>
      <c r="R44" s="60"/>
      <c r="S44" s="60"/>
      <c r="T44" s="60"/>
      <c r="U44" s="60"/>
      <c r="V44" s="60"/>
      <c r="W44" s="60"/>
      <c r="X44" s="60"/>
      <c r="Y44" s="60"/>
      <c r="Z44" s="60"/>
      <c r="AA44" s="60"/>
      <c r="AB44" s="60"/>
      <c r="AC44" s="60"/>
      <c r="AD44" s="60"/>
      <c r="AE44" s="60"/>
      <c r="AF44" s="60"/>
    </row>
    <row r="45" ht="22.5" customHeight="1">
      <c r="A45" s="62">
        <f t="shared" si="2"/>
        <v>37</v>
      </c>
      <c r="B45" s="13" t="s">
        <v>56</v>
      </c>
      <c r="C45" s="32" t="s">
        <v>60</v>
      </c>
      <c r="D45" s="47">
        <v>2.0</v>
      </c>
      <c r="E45" s="63" t="s">
        <v>142</v>
      </c>
      <c r="F45" s="64" t="s">
        <v>143</v>
      </c>
      <c r="G45" s="36" t="s">
        <v>144</v>
      </c>
      <c r="H45" s="36"/>
      <c r="I45" s="18" t="s">
        <v>126</v>
      </c>
      <c r="J45" s="60"/>
      <c r="K45" s="60"/>
      <c r="L45" s="60"/>
      <c r="M45" s="60"/>
      <c r="N45" s="60"/>
      <c r="O45" s="60"/>
      <c r="P45" s="60"/>
      <c r="Q45" s="60"/>
      <c r="R45" s="60"/>
      <c r="S45" s="60"/>
      <c r="T45" s="60"/>
      <c r="U45" s="60"/>
      <c r="V45" s="60"/>
      <c r="W45" s="60"/>
      <c r="X45" s="60"/>
      <c r="Y45" s="60"/>
      <c r="Z45" s="60"/>
      <c r="AA45" s="60"/>
      <c r="AB45" s="60"/>
      <c r="AC45" s="60"/>
      <c r="AD45" s="60"/>
      <c r="AE45" s="60"/>
      <c r="AF45" s="60"/>
    </row>
    <row r="46" ht="22.5" customHeight="1">
      <c r="A46" s="68">
        <f t="shared" si="2"/>
        <v>38</v>
      </c>
      <c r="B46" s="69"/>
      <c r="C46" s="70"/>
      <c r="D46" s="71"/>
      <c r="E46" s="72"/>
      <c r="F46" s="73"/>
      <c r="G46" s="73"/>
      <c r="H46" s="74"/>
      <c r="I46" s="75"/>
      <c r="J46" s="60"/>
      <c r="K46" s="60"/>
      <c r="L46" s="60"/>
      <c r="M46" s="60"/>
      <c r="N46" s="60"/>
      <c r="O46" s="60"/>
      <c r="P46" s="60"/>
      <c r="Q46" s="60"/>
      <c r="R46" s="60"/>
      <c r="S46" s="60"/>
      <c r="T46" s="60"/>
      <c r="U46" s="60"/>
      <c r="V46" s="60"/>
      <c r="W46" s="60"/>
      <c r="X46" s="60"/>
      <c r="Y46" s="60"/>
      <c r="Z46" s="60"/>
      <c r="AA46" s="60"/>
      <c r="AB46" s="60"/>
      <c r="AC46" s="60"/>
      <c r="AD46" s="60"/>
      <c r="AE46" s="60"/>
      <c r="AF46" s="60"/>
    </row>
    <row r="47" ht="22.5" customHeight="1">
      <c r="A47" s="68">
        <f t="shared" si="2"/>
        <v>39</v>
      </c>
      <c r="B47" s="69"/>
      <c r="C47" s="70"/>
      <c r="D47" s="71"/>
      <c r="E47" s="72"/>
      <c r="F47" s="73"/>
      <c r="G47" s="73"/>
      <c r="H47" s="74"/>
      <c r="I47" s="75"/>
      <c r="J47" s="60"/>
      <c r="K47" s="60"/>
      <c r="L47" s="60"/>
      <c r="M47" s="60"/>
      <c r="N47" s="60"/>
      <c r="O47" s="60"/>
      <c r="P47" s="60"/>
      <c r="Q47" s="60"/>
      <c r="R47" s="60"/>
      <c r="S47" s="60"/>
      <c r="T47" s="60"/>
      <c r="U47" s="60"/>
      <c r="V47" s="60"/>
      <c r="W47" s="60"/>
      <c r="X47" s="60"/>
      <c r="Y47" s="60"/>
      <c r="Z47" s="60"/>
      <c r="AA47" s="60"/>
      <c r="AB47" s="60"/>
      <c r="AC47" s="60"/>
      <c r="AD47" s="60"/>
      <c r="AE47" s="60"/>
      <c r="AF47" s="60"/>
    </row>
    <row r="48" ht="22.5" customHeight="1">
      <c r="A48" s="68">
        <f t="shared" si="2"/>
        <v>40</v>
      </c>
      <c r="B48" s="69"/>
      <c r="C48" s="70"/>
      <c r="D48" s="71"/>
      <c r="E48" s="72"/>
      <c r="F48" s="73"/>
      <c r="G48" s="73"/>
      <c r="H48" s="74"/>
      <c r="I48" s="75"/>
      <c r="J48" s="60"/>
      <c r="K48" s="60"/>
      <c r="L48" s="60"/>
      <c r="M48" s="60"/>
      <c r="N48" s="60"/>
      <c r="O48" s="60"/>
      <c r="P48" s="60"/>
      <c r="Q48" s="60"/>
      <c r="R48" s="60"/>
      <c r="S48" s="60"/>
      <c r="T48" s="60"/>
      <c r="U48" s="60"/>
      <c r="V48" s="60"/>
      <c r="W48" s="60"/>
      <c r="X48" s="60"/>
      <c r="Y48" s="60"/>
      <c r="Z48" s="60"/>
      <c r="AA48" s="60"/>
      <c r="AB48" s="60"/>
      <c r="AC48" s="60"/>
      <c r="AD48" s="60"/>
      <c r="AE48" s="60"/>
      <c r="AF48" s="60"/>
    </row>
  </sheetData>
  <customSheetViews>
    <customSheetView guid="{BCE403CC-B4CC-4956-BB23-93D7DFD06DB1}" filter="1" showAutoFilter="1">
      <autoFilter ref="$A$10:$I$48"/>
    </customSheetView>
    <customSheetView guid="{F4610630-59AA-4EE6-A1BB-8B6CB4C5A994}" filter="1" showAutoFilter="1">
      <autoFilter ref="$A$10:$I$48"/>
    </customSheetView>
  </customSheetViews>
  <mergeCells count="2">
    <mergeCell ref="B1:E1"/>
    <mergeCell ref="D3:E3"/>
  </mergeCells>
  <dataValidations>
    <dataValidation type="list" allowBlank="1" sqref="B11:B48">
      <formula1>"H1: Visibility of System Status,H2: Match b/w System &amp; World,H3: User Control &amp; Freedom,H4: Consistency &amp; Standards,H5: Error Prevention,H6: Recognition not Recall,H7: Flexibility &amp; Efficiency of Use,H8: Aesthetic &amp; Minimalist Design,H9: Help Users with E"&amp;"rrors,H10: Help &amp; Documentation,H11: Accessible Design,H12: Value Alignment &amp; Inclusion"</formula1>
    </dataValidation>
    <dataValidation type="list" allowBlank="1" sqref="D11:D48">
      <formula1>"0,1,2,3,4"</formula1>
    </dataValidation>
    <dataValidation type="list" allowBlank="1" sqref="I11:I48">
      <formula1>"A,B,C,D"</formula1>
    </dataValidation>
    <dataValidation type="list" allowBlank="1" sqref="C11:C48">
      <formula1>"1. Simple Task,2. Moderate Task,3. Complex Task,4. All Tasks,5. Extra Violations"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s>
  <sheetData>
    <row r="1">
      <c r="A1" s="76" t="s">
        <v>145</v>
      </c>
      <c r="B1" s="77" t="s">
        <v>146</v>
      </c>
      <c r="C1" s="77" t="s">
        <v>147</v>
      </c>
      <c r="D1" s="77" t="s">
        <v>148</v>
      </c>
      <c r="E1" s="77" t="s">
        <v>149</v>
      </c>
      <c r="F1" s="77" t="s">
        <v>150</v>
      </c>
      <c r="G1" s="78" t="s">
        <v>151</v>
      </c>
      <c r="I1" s="79"/>
      <c r="J1" s="79"/>
      <c r="K1" s="79"/>
      <c r="L1" s="79"/>
    </row>
    <row r="2">
      <c r="A2" s="80" t="s">
        <v>38</v>
      </c>
      <c r="B2" s="81">
        <f>COUNTIFS('Group Heuristic Evaluation'!B:B, "H1: Visibility of System Status", 'Group Heuristic Evaluation'!D:D, 0)</f>
        <v>0</v>
      </c>
      <c r="C2" s="81">
        <f>COUNTIFS('Group Heuristic Evaluation'!B:B, "H1: Visibility of System Status", 'Group Heuristic Evaluation'!D:D, 1)</f>
        <v>0</v>
      </c>
      <c r="D2" s="82">
        <f>COUNTIFS('Group Heuristic Evaluation'!B:B, "H1: Visibility of System Status", 'Group Heuristic Evaluation'!D:D, 2)</f>
        <v>0</v>
      </c>
      <c r="E2" s="82">
        <f>COUNTIFS('Group Heuristic Evaluation'!B:B, "H1: Visibility of System Status", 'Group Heuristic Evaluation'!D:D, 3)</f>
        <v>1</v>
      </c>
      <c r="F2" s="82">
        <f>COUNTIFS('Group Heuristic Evaluation'!B:B, "H1: Visibility of System Status", 'Group Heuristic Evaluation'!D:D, 4)</f>
        <v>0</v>
      </c>
      <c r="G2" s="83">
        <f t="shared" ref="G2:G5" si="1">SUM(B2:F2)</f>
        <v>1</v>
      </c>
      <c r="I2" s="79"/>
      <c r="J2" s="79"/>
      <c r="K2" s="79"/>
      <c r="L2" s="79"/>
    </row>
    <row r="3">
      <c r="A3" s="84" t="s">
        <v>52</v>
      </c>
      <c r="B3" s="81">
        <f>COUNTIFS('Group Heuristic Evaluation'!B:B, "H2: Match b/w System &amp; World", 'Group Heuristic Evaluation'!D:D, 0)</f>
        <v>1</v>
      </c>
      <c r="C3" s="82">
        <f>COUNTIFS('Group Heuristic Evaluation'!B:B, "H2: Match b/w System &amp; World", 'Group Heuristic Evaluation'!D:D, 1)</f>
        <v>1</v>
      </c>
      <c r="D3" s="82">
        <f>COUNTIFS('Group Heuristic Evaluation'!B:B, "H2: Match b/w System &amp; World", 'Group Heuristic Evaluation'!D:D, 2)</f>
        <v>0</v>
      </c>
      <c r="E3" s="82">
        <f>COUNTIFS('Group Heuristic Evaluation'!B:B, "H2: Match b/w System &amp; World", 'Group Heuristic Evaluation'!D:D, 3)</f>
        <v>0</v>
      </c>
      <c r="F3" s="82">
        <f>COUNTIFS('Group Heuristic Evaluation'!B:B, "H2: Match b/w System &amp; World", 'Group Heuristic Evaluation'!D:D, 4)</f>
        <v>0</v>
      </c>
      <c r="G3" s="85">
        <f t="shared" si="1"/>
        <v>2</v>
      </c>
      <c r="I3" s="79"/>
      <c r="J3" s="79"/>
      <c r="K3" s="79"/>
      <c r="L3" s="79"/>
    </row>
    <row r="4">
      <c r="A4" s="84" t="s">
        <v>56</v>
      </c>
      <c r="B4" s="81">
        <f>COUNTIFS('Group Heuristic Evaluation'!B:B, "H3: User Control &amp; Freedom", 'Group Heuristic Evaluation'!D:D, 0)</f>
        <v>0</v>
      </c>
      <c r="C4" s="82">
        <f>COUNTIFS('Group Heuristic Evaluation'!B:B, "H3: User Control &amp; Freedom", 'Group Heuristic Evaluation'!D:D, 1)</f>
        <v>0</v>
      </c>
      <c r="D4" s="82">
        <f>COUNTIFS('Group Heuristic Evaluation'!B:B, "H3: User Control &amp; Freedom", 'Group Heuristic Evaluation'!D:D, 2)</f>
        <v>2</v>
      </c>
      <c r="E4" s="82">
        <f>COUNTIFS('Group Heuristic Evaluation'!B:B, "H3: User Control &amp; Freedom", 'Group Heuristic Evaluation'!D:D, 3)</f>
        <v>2</v>
      </c>
      <c r="F4" s="82">
        <f>COUNTIFS('Group Heuristic Evaluation'!B:B, "H3: User Control &amp; Freedom", 'Group Heuristic Evaluation'!D:D, 4)</f>
        <v>0</v>
      </c>
      <c r="G4" s="85">
        <f t="shared" si="1"/>
        <v>4</v>
      </c>
      <c r="I4" s="79"/>
      <c r="J4" s="79"/>
      <c r="K4" s="79"/>
      <c r="L4" s="79"/>
    </row>
    <row r="5">
      <c r="A5" s="84" t="s">
        <v>33</v>
      </c>
      <c r="B5" s="81">
        <f>COUNTIFS('Group Heuristic Evaluation'!B:B, "H4: Consistency &amp; Standards", 'Group Heuristic Evaluation'!D:D, 0)</f>
        <v>0</v>
      </c>
      <c r="C5" s="82">
        <f>COUNTIFS('Group Heuristic Evaluation'!B:B, "H4: Consistency &amp; Standards", 'Group Heuristic Evaluation'!D:D, 1)</f>
        <v>4</v>
      </c>
      <c r="D5" s="82">
        <f>COUNTIFS('Group Heuristic Evaluation'!B:B, "H4: Consistency &amp; Standards", 'Group Heuristic Evaluation'!D:D, 2)</f>
        <v>1</v>
      </c>
      <c r="E5" s="82">
        <f>COUNTIFS('Group Heuristic Evaluation'!B:B, "H4: Consistency &amp; Standards", 'Group Heuristic Evaluation'!D:D, 3)</f>
        <v>4</v>
      </c>
      <c r="F5" s="82">
        <f>COUNTIFS('Group Heuristic Evaluation'!B:B, "H4: Consistency &amp; Standards", 'Group Heuristic Evaluation'!D:D, 4)</f>
        <v>1</v>
      </c>
      <c r="G5" s="85">
        <f t="shared" si="1"/>
        <v>10</v>
      </c>
      <c r="I5" s="79"/>
      <c r="J5" s="79"/>
      <c r="K5" s="79"/>
      <c r="L5" s="79"/>
    </row>
    <row r="6">
      <c r="A6" s="84" t="s">
        <v>75</v>
      </c>
      <c r="B6" s="81">
        <f>COUNTIFS('Group Heuristic Evaluation'!B:B, "H5: Error Prevention", 'Group Heuristic Evaluation'!D:D, 0)</f>
        <v>0</v>
      </c>
      <c r="C6" s="82">
        <f>COUNTIFS('Group Heuristic Evaluation'!B:B, "H5: Error Prevention", 'Group Heuristic Evaluation'!D:D, 1)</f>
        <v>2</v>
      </c>
      <c r="D6" s="82">
        <f>COUNTIFS('Group Heuristic Evaluation'!B:B, "H5: Error Prevention", 'Group Heuristic Evaluation'!D:D, 2)</f>
        <v>0</v>
      </c>
      <c r="E6" s="82">
        <f>COUNTIFS('Group Heuristic Evaluation'!B:B, "H5: Error Prevention", 'Group Heuristic Evaluation'!D:D, 3)</f>
        <v>0</v>
      </c>
      <c r="F6" s="82">
        <f>COUNTIFS('Group Heuristic Evaluation'!B:B, "H5: Error Prevention", 'Group Heuristic Evaluation'!D:D, 4)</f>
        <v>0</v>
      </c>
      <c r="G6" s="85">
        <f>SUM(C6:F6)</f>
        <v>2</v>
      </c>
      <c r="I6" s="79"/>
      <c r="J6" s="79"/>
      <c r="K6" s="79"/>
      <c r="L6" s="79"/>
    </row>
    <row r="7">
      <c r="A7" s="84" t="s">
        <v>80</v>
      </c>
      <c r="B7" s="81">
        <f>COUNTIFS('Group Heuristic Evaluation'!B:B, "H6: Recognition not Recall", 'Group Heuristic Evaluation'!D:D, 0)</f>
        <v>0</v>
      </c>
      <c r="C7" s="82">
        <f>COUNTIFS('Group Heuristic Evaluation'!B:B, "H6: Recognition not Recall", 'Group Heuristic Evaluation'!D:D, 1)</f>
        <v>0</v>
      </c>
      <c r="D7" s="82">
        <f>COUNTIFS('Group Heuristic Evaluation'!B:B, "H6: Recognition not Recall", 'Group Heuristic Evaluation'!D:D, 2)</f>
        <v>2</v>
      </c>
      <c r="E7" s="82">
        <f>COUNTIFS('Group Heuristic Evaluation'!B:B, "H6: Recognition not Recall", 'Group Heuristic Evaluation'!D:D, 3)</f>
        <v>0</v>
      </c>
      <c r="F7" s="82">
        <f>COUNTIFS('Group Heuristic Evaluation'!B:B, "H6: Recognition not Recall", 'Group Heuristic Evaluation'!D:D, 4)</f>
        <v>0</v>
      </c>
      <c r="G7" s="85">
        <f t="shared" ref="G7:G13" si="2">SUM(B7:F7)</f>
        <v>2</v>
      </c>
      <c r="I7" s="79"/>
      <c r="J7" s="79"/>
      <c r="K7" s="79"/>
      <c r="L7" s="79"/>
    </row>
    <row r="8">
      <c r="A8" s="84" t="s">
        <v>98</v>
      </c>
      <c r="B8" s="81">
        <f>COUNTIFS('Group Heuristic Evaluation'!B:B, "H7: Flexibility &amp; Efficiency of Use", 'Group Heuristic Evaluation'!D:D, 0)</f>
        <v>0</v>
      </c>
      <c r="C8" s="82">
        <f>COUNTIFS('Group Heuristic Evaluation'!B:B, "H7: Flexibility &amp; Efficiency of Use", 'Group Heuristic Evaluation'!D:D, 1)</f>
        <v>1</v>
      </c>
      <c r="D8" s="82">
        <f>COUNTIFS('Group Heuristic Evaluation'!B:B, "H7: Flexibility &amp; Efficiency of Use", 'Group Heuristic Evaluation'!D:D, 2)</f>
        <v>2</v>
      </c>
      <c r="E8" s="82">
        <f>COUNTIFS('Group Heuristic Evaluation'!B:B, "H7: Flexibility &amp; Efficiency of Use", 'Group Heuristic Evaluation'!D:D, 3)</f>
        <v>0</v>
      </c>
      <c r="F8" s="82">
        <f>COUNTIFS('Group Heuristic Evaluation'!B:B, "H7: Flexibility &amp; Efficiency of Use", 'Group Heuristic Evaluation'!D:D, 4)</f>
        <v>0</v>
      </c>
      <c r="G8" s="85">
        <f t="shared" si="2"/>
        <v>3</v>
      </c>
      <c r="I8" s="79"/>
      <c r="J8" s="79"/>
      <c r="K8" s="79"/>
      <c r="L8" s="79"/>
    </row>
    <row r="9">
      <c r="A9" s="84" t="s">
        <v>22</v>
      </c>
      <c r="B9" s="81">
        <f>COUNTIFS('Group Heuristic Evaluation'!B:B, "H8: Aesthetic &amp; Minimalist Design", 'Group Heuristic Evaluation'!D:D, 0)</f>
        <v>0</v>
      </c>
      <c r="C9" s="86">
        <f>COUNTIFS('Group Heuristic Evaluation'!B:B, "H8: Aesthetic &amp; Minimalist Design", 'Group Heuristic Evaluation'!D:D, 1)</f>
        <v>4</v>
      </c>
      <c r="D9" s="86">
        <f>COUNTIFS('Group Heuristic Evaluation'!B:B, "H8: Aesthetic &amp; Minimalist Design", 'Group Heuristic Evaluation'!D:D, 2)</f>
        <v>0</v>
      </c>
      <c r="E9" s="86">
        <f>COUNTIFS('Group Heuristic Evaluation'!B:B, "H8: Aesthetic &amp; Minimalist Design", 'Group Heuristic Evaluation'!D:D, 3)</f>
        <v>0</v>
      </c>
      <c r="F9" s="86">
        <f>COUNTIFS('Group Heuristic Evaluation'!B:B, "H8: Aesthetic &amp; Minimalist Design", 'Group Heuristic Evaluation'!D:D, 4)</f>
        <v>0</v>
      </c>
      <c r="G9" s="85">
        <f t="shared" si="2"/>
        <v>4</v>
      </c>
      <c r="I9" s="79"/>
      <c r="J9" s="79"/>
      <c r="K9" s="79"/>
      <c r="L9" s="79"/>
    </row>
    <row r="10">
      <c r="A10" s="84" t="s">
        <v>84</v>
      </c>
      <c r="B10" s="81">
        <f>COUNTIFS('Group Heuristic Evaluation'!B:B, "H9: Help Users with Errors", 'Group Heuristic Evaluation'!D:D, 0)</f>
        <v>0</v>
      </c>
      <c r="C10" s="86">
        <f>COUNTIFS('Group Heuristic Evaluation'!B:B, "H9: Help Users with Errors", 'Group Heuristic Evaluation'!D:D, 1)</f>
        <v>1</v>
      </c>
      <c r="D10" s="86">
        <f>COUNTIFS('Group Heuristic Evaluation'!B:B, "H9: Help Users with Errors", 'Group Heuristic Evaluation'!D:D, 2)</f>
        <v>0</v>
      </c>
      <c r="E10" s="86">
        <f>COUNTIFS('Group Heuristic Evaluation'!B:B, "H9: Help Users with Errors", 'Group Heuristic Evaluation'!D:D, 3)</f>
        <v>0</v>
      </c>
      <c r="F10" s="86">
        <f>COUNTIFS('Group Heuristic Evaluation'!B:B, "H9: Help Users with Errors", 'Group Heuristic Evaluation'!D:D, 4)</f>
        <v>0</v>
      </c>
      <c r="G10" s="85">
        <f t="shared" si="2"/>
        <v>1</v>
      </c>
      <c r="I10" s="79"/>
      <c r="J10" s="79"/>
      <c r="K10" s="79"/>
      <c r="L10" s="79"/>
    </row>
    <row r="11">
      <c r="A11" s="84" t="s">
        <v>64</v>
      </c>
      <c r="B11" s="81">
        <f>COUNTIFS('Group Heuristic Evaluation'!B:B, "H10: Help &amp; Documentation", 'Group Heuristic Evaluation'!D:D, 0)</f>
        <v>0</v>
      </c>
      <c r="C11" s="86">
        <f>COUNTIFS('Group Heuristic Evaluation'!B:B, "H10: Help &amp; Documentation", 'Group Heuristic Evaluation'!D:D, 1)</f>
        <v>0</v>
      </c>
      <c r="D11" s="86">
        <f>COUNTIFS('Group Heuristic Evaluation'!B:B, "H10: Help &amp; Documentation", 'Group Heuristic Evaluation'!D:D, 2)</f>
        <v>0</v>
      </c>
      <c r="E11" s="86">
        <f>COUNTIFS('Group Heuristic Evaluation'!B:B, "H10: Help &amp; Documentation", 'Group Heuristic Evaluation'!D:D, 3)</f>
        <v>1</v>
      </c>
      <c r="F11" s="86">
        <f>COUNTIFS('Group Heuristic Evaluation'!B:B, "H10: Help &amp; Documentation", 'Group Heuristic Evaluation'!D:D, 4)</f>
        <v>0</v>
      </c>
      <c r="G11" s="85">
        <f t="shared" si="2"/>
        <v>1</v>
      </c>
      <c r="I11" s="79"/>
      <c r="J11" s="79"/>
      <c r="K11" s="79"/>
      <c r="L11" s="79"/>
    </row>
    <row r="12">
      <c r="A12" s="84" t="s">
        <v>28</v>
      </c>
      <c r="B12" s="81">
        <f>COUNTIFS('Group Heuristic Evaluation'!B:B, "H11: Accessible Design", 'Group Heuristic Evaluation'!D:D, 0)</f>
        <v>0</v>
      </c>
      <c r="C12" s="86">
        <f>COUNTIFS('Group Heuristic Evaluation'!B:B, "H11: Accessible Design", 'Group Heuristic Evaluation'!D:D, 1)</f>
        <v>1</v>
      </c>
      <c r="D12" s="86">
        <f>COUNTIFS('Group Heuristic Evaluation'!B:B, "H11: Accessible Design", 'Group Heuristic Evaluation'!D:D, 2)</f>
        <v>2</v>
      </c>
      <c r="E12" s="86">
        <f>COUNTIFS('Group Heuristic Evaluation'!B:B, "H11: Accessible Design", 'Group Heuristic Evaluation'!D:D, 3)</f>
        <v>0</v>
      </c>
      <c r="F12" s="86">
        <f>COUNTIFS('Group Heuristic Evaluation'!B:B, "H11: Accessible Design", 'Group Heuristic Evaluation'!D:D, 4)</f>
        <v>0</v>
      </c>
      <c r="G12" s="85">
        <f t="shared" si="2"/>
        <v>3</v>
      </c>
      <c r="I12" s="79"/>
      <c r="J12" s="79"/>
      <c r="K12" s="79"/>
      <c r="L12" s="79"/>
    </row>
    <row r="13">
      <c r="A13" s="84" t="s">
        <v>152</v>
      </c>
      <c r="B13" s="81">
        <f>COUNTIFS('Group Heuristic Evaluation'!B:B, "H12: Value Alignment &amp; Inclusion", 'Group Heuristic Evaluation'!D:D, 0)</f>
        <v>0</v>
      </c>
      <c r="C13" s="86">
        <f>COUNTIFS('Group Heuristic Evaluation'!B:B, "H12: Value Alignment &amp; Inclusion", 'Group Heuristic Evaluation'!D:D, 1)</f>
        <v>1</v>
      </c>
      <c r="D13" s="86">
        <f>COUNTIFS('Group Heuristic Evaluation'!B:B, "H12: Value Alignment &amp; Inclusion", 'Group Heuristic Evaluation'!D:D, 2)</f>
        <v>1</v>
      </c>
      <c r="E13" s="86">
        <f>COUNTIFS('Group Heuristic Evaluation'!B:B, "H12: Value Alignment &amp; Inclusion", 'Group Heuristic Evaluation'!D:D, 3)</f>
        <v>0</v>
      </c>
      <c r="F13" s="86">
        <f>COUNTIFS('Group Heuristic Evaluation'!B:B, "H12: Value Alignment &amp; Inclusion", 'Group Heuristic Evaluation'!D:D, 4)</f>
        <v>0</v>
      </c>
      <c r="G13" s="85">
        <f t="shared" si="2"/>
        <v>2</v>
      </c>
      <c r="I13" s="79"/>
      <c r="J13" s="79"/>
      <c r="K13" s="79"/>
      <c r="L13" s="79"/>
    </row>
    <row r="14">
      <c r="A14" s="87" t="s">
        <v>153</v>
      </c>
      <c r="B14" s="88">
        <f>SUM(B2:B13)</f>
        <v>1</v>
      </c>
      <c r="C14" s="88">
        <f t="shared" ref="C14:D14" si="3">SUM(C1:C13)</f>
        <v>15</v>
      </c>
      <c r="D14" s="88">
        <f t="shared" si="3"/>
        <v>10</v>
      </c>
      <c r="E14" s="88">
        <f t="shared" ref="E14:G14" si="4">SUM(E2:E13)</f>
        <v>8</v>
      </c>
      <c r="F14" s="88">
        <f t="shared" si="4"/>
        <v>1</v>
      </c>
      <c r="G14" s="89">
        <f t="shared" si="4"/>
        <v>35</v>
      </c>
      <c r="I14" s="79"/>
      <c r="J14" s="79"/>
      <c r="K14" s="79"/>
      <c r="L14" s="79"/>
    </row>
    <row r="16">
      <c r="A16" s="90"/>
      <c r="B16" s="90"/>
      <c r="C16" s="90"/>
      <c r="D16" s="90"/>
      <c r="E16" s="90"/>
      <c r="F16" s="90"/>
      <c r="G16" s="90"/>
    </row>
    <row r="17">
      <c r="A17" s="90"/>
      <c r="B17" s="90"/>
      <c r="C17" s="90"/>
      <c r="D17" s="90"/>
      <c r="E17" s="90"/>
      <c r="F17" s="90"/>
      <c r="G17" s="90"/>
    </row>
    <row r="18">
      <c r="A18" s="90"/>
      <c r="B18" s="90"/>
      <c r="C18" s="90"/>
      <c r="D18" s="90"/>
      <c r="E18" s="90"/>
      <c r="F18" s="90"/>
      <c r="G18" s="90"/>
    </row>
    <row r="19">
      <c r="A19" s="90"/>
      <c r="B19" s="90"/>
      <c r="C19" s="90"/>
      <c r="D19" s="90"/>
      <c r="E19" s="90"/>
      <c r="F19" s="90"/>
      <c r="G19" s="90"/>
    </row>
    <row r="20">
      <c r="A20" s="90"/>
      <c r="B20" s="90"/>
      <c r="C20" s="90"/>
      <c r="D20" s="90"/>
      <c r="E20" s="90"/>
      <c r="F20" s="90"/>
      <c r="G20" s="90"/>
    </row>
    <row r="21">
      <c r="A21" s="90"/>
      <c r="B21" s="90"/>
      <c r="C21" s="90"/>
      <c r="D21" s="90"/>
      <c r="E21" s="90"/>
      <c r="F21" s="90"/>
      <c r="G21" s="90"/>
    </row>
    <row r="22">
      <c r="A22" s="90"/>
      <c r="B22" s="90"/>
      <c r="C22" s="90"/>
      <c r="D22" s="90"/>
      <c r="E22" s="90"/>
      <c r="F22" s="90"/>
      <c r="G22" s="90"/>
    </row>
    <row r="23">
      <c r="A23" s="90"/>
      <c r="B23" s="90"/>
      <c r="C23" s="90"/>
      <c r="D23" s="90"/>
      <c r="E23" s="90"/>
      <c r="F23" s="90"/>
      <c r="G23" s="90"/>
    </row>
    <row r="24">
      <c r="A24" s="90"/>
      <c r="B24" s="90"/>
      <c r="C24" s="90"/>
      <c r="D24" s="90"/>
      <c r="E24" s="90"/>
      <c r="F24" s="90"/>
      <c r="G24" s="90"/>
    </row>
    <row r="25">
      <c r="A25" s="90"/>
      <c r="B25" s="90"/>
      <c r="C25" s="90"/>
      <c r="D25" s="90"/>
      <c r="E25" s="90"/>
      <c r="F25" s="90"/>
      <c r="G25" s="90"/>
    </row>
    <row r="26">
      <c r="A26" s="90"/>
      <c r="B26" s="90"/>
      <c r="C26" s="90"/>
      <c r="D26" s="90"/>
      <c r="E26" s="90"/>
      <c r="F26" s="90"/>
      <c r="G26" s="90"/>
    </row>
    <row r="27">
      <c r="A27" s="90"/>
      <c r="B27" s="90"/>
      <c r="C27" s="90"/>
      <c r="D27" s="90"/>
      <c r="E27" s="90"/>
      <c r="F27" s="90"/>
      <c r="G27" s="90"/>
    </row>
    <row r="28">
      <c r="A28" s="90"/>
      <c r="B28" s="90"/>
      <c r="C28" s="90"/>
      <c r="D28" s="90"/>
      <c r="E28" s="90"/>
      <c r="F28" s="90"/>
      <c r="G28" s="90"/>
    </row>
    <row r="29">
      <c r="A29" s="90"/>
      <c r="B29" s="90"/>
      <c r="C29" s="90"/>
      <c r="D29" s="90"/>
      <c r="E29" s="90"/>
      <c r="F29" s="90"/>
      <c r="G29" s="90"/>
    </row>
    <row r="32">
      <c r="A32" s="91"/>
      <c r="B32" s="91"/>
      <c r="C32" s="91"/>
      <c r="D32" s="91"/>
      <c r="E32" s="91"/>
      <c r="F32" s="91"/>
      <c r="G32" s="91"/>
    </row>
    <row r="33">
      <c r="A33" s="91"/>
      <c r="B33" s="91"/>
      <c r="C33" s="91"/>
      <c r="D33" s="91"/>
      <c r="E33" s="91"/>
      <c r="F33" s="91"/>
      <c r="G33" s="91"/>
    </row>
    <row r="34">
      <c r="A34" s="91"/>
      <c r="B34" s="91"/>
      <c r="C34" s="91"/>
      <c r="D34" s="91"/>
      <c r="E34" s="91"/>
      <c r="F34" s="91"/>
      <c r="G34" s="91"/>
    </row>
    <row r="35">
      <c r="A35" s="91"/>
      <c r="B35" s="91"/>
      <c r="C35" s="91"/>
      <c r="D35" s="91"/>
      <c r="E35" s="91"/>
      <c r="F35" s="91"/>
      <c r="G35" s="91"/>
    </row>
    <row r="36">
      <c r="A36" s="91"/>
      <c r="B36" s="91"/>
      <c r="C36" s="91"/>
      <c r="D36" s="91"/>
      <c r="E36" s="91"/>
      <c r="F36" s="91"/>
      <c r="G36" s="91"/>
    </row>
    <row r="37">
      <c r="A37" s="91"/>
      <c r="B37" s="91"/>
      <c r="C37" s="91"/>
      <c r="D37" s="91"/>
      <c r="E37" s="91"/>
      <c r="F37" s="91"/>
      <c r="G37" s="91"/>
    </row>
    <row r="38">
      <c r="A38" s="91"/>
      <c r="B38" s="91"/>
      <c r="C38" s="91"/>
      <c r="D38" s="91"/>
      <c r="E38" s="91"/>
      <c r="F38" s="91"/>
      <c r="G38" s="91"/>
    </row>
    <row r="39">
      <c r="A39" s="91"/>
      <c r="B39" s="91"/>
      <c r="C39" s="91"/>
      <c r="D39" s="91"/>
      <c r="E39" s="91"/>
      <c r="F39" s="91"/>
      <c r="G39" s="91"/>
    </row>
    <row r="40">
      <c r="A40" s="91"/>
      <c r="B40" s="91"/>
      <c r="C40" s="91"/>
      <c r="D40" s="91"/>
      <c r="E40" s="91"/>
      <c r="F40" s="91"/>
      <c r="G40" s="91"/>
    </row>
    <row r="41">
      <c r="A41" s="91"/>
      <c r="B41" s="91"/>
      <c r="C41" s="91"/>
      <c r="D41" s="91"/>
      <c r="E41" s="91"/>
      <c r="F41" s="91"/>
      <c r="G41" s="91"/>
    </row>
    <row r="42">
      <c r="A42" s="91"/>
      <c r="B42" s="91"/>
      <c r="C42" s="91"/>
      <c r="D42" s="91"/>
      <c r="E42" s="91"/>
      <c r="F42" s="91"/>
      <c r="G42" s="91"/>
    </row>
    <row r="43">
      <c r="A43" s="91"/>
      <c r="B43" s="91"/>
      <c r="C43" s="91"/>
      <c r="D43" s="91"/>
      <c r="E43" s="91"/>
      <c r="F43" s="91"/>
      <c r="G43" s="91"/>
    </row>
    <row r="44">
      <c r="A44" s="91"/>
      <c r="B44" s="91"/>
      <c r="C44" s="91"/>
      <c r="D44" s="91"/>
      <c r="E44" s="91"/>
      <c r="F44" s="91"/>
      <c r="G44" s="91"/>
    </row>
    <row r="45">
      <c r="A45" s="91"/>
      <c r="B45" s="91"/>
      <c r="C45" s="91"/>
      <c r="D45" s="91"/>
      <c r="E45" s="91"/>
      <c r="F45" s="91"/>
      <c r="G45" s="9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5" width="14.5"/>
  </cols>
  <sheetData>
    <row r="1">
      <c r="A1" s="92" t="s">
        <v>154</v>
      </c>
    </row>
    <row r="2">
      <c r="A2" s="93" t="s">
        <v>16</v>
      </c>
      <c r="B2" s="93" t="s">
        <v>4</v>
      </c>
      <c r="C2" s="93" t="s">
        <v>7</v>
      </c>
      <c r="D2" s="93" t="s">
        <v>10</v>
      </c>
      <c r="E2" s="93" t="s">
        <v>155</v>
      </c>
    </row>
    <row r="3">
      <c r="A3" s="94">
        <v>0.0</v>
      </c>
      <c r="B3" s="95">
        <f>COUNTIFS('Group Heuristic Evaluation'!I11:I1001, "*A*",'Group Heuristic Evaluation'!D11:D1001, 0)/COUNTA('Group Heuristic Evaluation'!B11:B1001)
</f>
        <v>0.02857142857</v>
      </c>
      <c r="C3" s="95">
        <f>COUNTIFS('Group Heuristic Evaluation'!I11:I1001, "*B*",'Group Heuristic Evaluation'!D11:D1001, 0)/COUNTA('Group Heuristic Evaluation'!B11:B1001)</f>
        <v>0</v>
      </c>
      <c r="D3" s="95">
        <f>COUNTIFS('Group Heuristic Evaluation'!I11:I1001, "*C*",'Group Heuristic Evaluation'!D11:D1001, 0)/COUNTA('Group Heuristic Evaluation'!B11:B1001)</f>
        <v>0</v>
      </c>
      <c r="E3" s="95">
        <f>COUNTIFS('Group Heuristic Evaluation'!I11:I1001, "*D*",'Group Heuristic Evaluation'!D11:D1001, 0)/COUNTA('Group Heuristic Evaluation'!B11:B1001)</f>
        <v>0.02857142857</v>
      </c>
    </row>
    <row r="4">
      <c r="A4" s="94">
        <v>1.0</v>
      </c>
      <c r="B4" s="95">
        <f>COUNTIFS('Group Heuristic Evaluation'!I11:I1001, "*A*",'Group Heuristic Evaluation'!D11:D1001, 1)/COUNTA('Group Heuristic Evaluation'!B11:B1001)
</f>
        <v>0.1428571429</v>
      </c>
      <c r="C4" s="95">
        <f>COUNTIFS('Group Heuristic Evaluation'!I11:I1001, "*B*",'Group Heuristic Evaluation'!D11:D1001, 1)/COUNTA('Group Heuristic Evaluation'!B11:B1001)</f>
        <v>0.2285714286</v>
      </c>
      <c r="D4" s="95">
        <f>COUNTIFS('Group Heuristic Evaluation'!I11:I1001, "*C*",'Group Heuristic Evaluation'!D11:D1001, 1)/COUNTA('Group Heuristic Evaluation'!B11:B1001)</f>
        <v>0.08571428571</v>
      </c>
      <c r="E4" s="95">
        <f>COUNTIFS('Group Heuristic Evaluation'!I11:I1001, "*D*",'Group Heuristic Evaluation'!D11:D1001, 1)/COUNTA('Group Heuristic Evaluation'!B11:B1001)</f>
        <v>0.2</v>
      </c>
    </row>
    <row r="5">
      <c r="A5" s="94">
        <v>2.0</v>
      </c>
      <c r="B5" s="95">
        <f>COUNTIFS('Group Heuristic Evaluation'!I11:I1001, "*A*",'Group Heuristic Evaluation'!D11:D1001, 2)/COUNTA('Group Heuristic Evaluation'!B11:B1001)
</f>
        <v>0.05714285714</v>
      </c>
      <c r="C5" s="95">
        <f>COUNTIFS('Group Heuristic Evaluation'!I11:I1001, "*B*",'Group Heuristic Evaluation'!D11:D1001, 2)/COUNTA('Group Heuristic Evaluation'!B11:B1001)</f>
        <v>0.1714285714</v>
      </c>
      <c r="D5" s="95">
        <f>COUNTIFS('Group Heuristic Evaluation'!I11:I1001, "*C*",'Group Heuristic Evaluation'!D11:D1001, 2)/COUNTA('Group Heuristic Evaluation'!B11:B1001)</f>
        <v>0.08571428571</v>
      </c>
      <c r="E5" s="95">
        <f>COUNTIFS('Group Heuristic Evaluation'!I11:I1001, "*D*",'Group Heuristic Evaluation'!D11:D1001, 2)/COUNTA('Group Heuristic Evaluation'!B11:B1001)</f>
        <v>0.1428571429</v>
      </c>
    </row>
    <row r="6">
      <c r="A6" s="94">
        <v>3.0</v>
      </c>
      <c r="B6" s="95">
        <f>COUNTIFS('Group Heuristic Evaluation'!I11:I1001, "*A*",'Group Heuristic Evaluation'!D11:D1001, 3)/COUNTA('Group Heuristic Evaluation'!B11:B1001)
</f>
        <v>0</v>
      </c>
      <c r="C6" s="95">
        <f>COUNTIFS('Group Heuristic Evaluation'!I11:I1001, "*B*",'Group Heuristic Evaluation'!D11:D1001, 3)/COUNTA('Group Heuristic Evaluation'!B11:B1001)</f>
        <v>0.2</v>
      </c>
      <c r="D6" s="95">
        <f>COUNTIFS('Group Heuristic Evaluation'!I11:I1001, "*C*",'Group Heuristic Evaluation'!D11:D1001, 3)/COUNTA('Group Heuristic Evaluation'!B11:B1001)</f>
        <v>0.02857142857</v>
      </c>
      <c r="E6" s="95">
        <f>COUNTIFS('Group Heuristic Evaluation'!I11:I1001, "*D*",'Group Heuristic Evaluation'!D11:D1001, 3)/COUNTA('Group Heuristic Evaluation'!B11:B1001)</f>
        <v>0.02857142857</v>
      </c>
    </row>
    <row r="7">
      <c r="A7" s="94">
        <v>4.0</v>
      </c>
      <c r="B7" s="95">
        <f>COUNTIFS('Group Heuristic Evaluation'!I11:I1001, "*A*",'Group Heuristic Evaluation'!D11:D1001, 4)/COUNTA('Group Heuristic Evaluation'!B11:B1001)
</f>
        <v>0</v>
      </c>
      <c r="C7" s="95">
        <f>COUNTIFS('Group Heuristic Evaluation'!I11:I1001, "*B*",'Group Heuristic Evaluation'!D11:D1001, 4)/COUNTA('Group Heuristic Evaluation'!B11:B1001)</f>
        <v>0.02857142857</v>
      </c>
      <c r="D7" s="95">
        <f>COUNTIFS('Group Heuristic Evaluation'!I11:I1001, "*C*",'Group Heuristic Evaluation'!D11:D1001, 4)/COUNTA('Group Heuristic Evaluation'!B11:B1001)</f>
        <v>0</v>
      </c>
      <c r="E7" s="95">
        <f>COUNTIFS('Group Heuristic Evaluation'!I11:I1001, "*D*",'Group Heuristic Evaluation'!D11:D1001, 4)/COUNTA('Group Heuristic Evaluation'!B11:B1001)</f>
        <v>0</v>
      </c>
    </row>
    <row r="8">
      <c r="A8" s="79" t="s">
        <v>156</v>
      </c>
      <c r="B8" s="96">
        <f t="shared" ref="B8:E8" si="1">SUM(B6:B7)</f>
        <v>0</v>
      </c>
      <c r="C8" s="96">
        <f t="shared" si="1"/>
        <v>0.2285714286</v>
      </c>
      <c r="D8" s="96">
        <f t="shared" si="1"/>
        <v>0.02857142857</v>
      </c>
      <c r="E8" s="96">
        <f t="shared" si="1"/>
        <v>0.02857142857</v>
      </c>
    </row>
    <row r="9">
      <c r="A9" s="79" t="s">
        <v>157</v>
      </c>
      <c r="B9" s="96">
        <f t="shared" ref="B9:E9" si="2">SUM(B3:B7)</f>
        <v>0.2285714286</v>
      </c>
      <c r="C9" s="96">
        <f t="shared" si="2"/>
        <v>0.6285714286</v>
      </c>
      <c r="D9" s="96">
        <f t="shared" si="2"/>
        <v>0.2</v>
      </c>
      <c r="E9" s="96">
        <f t="shared" si="2"/>
        <v>0.4</v>
      </c>
    </row>
  </sheetData>
  <mergeCells count="1">
    <mergeCell ref="A1: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7" t="s">
        <v>158</v>
      </c>
      <c r="B1" s="98"/>
      <c r="C1" s="98"/>
      <c r="D1" s="98"/>
      <c r="E1" s="98"/>
      <c r="F1" s="98"/>
      <c r="G1" s="99"/>
    </row>
    <row r="2">
      <c r="A2" s="100" t="s">
        <v>159</v>
      </c>
    </row>
  </sheetData>
  <mergeCells count="2">
    <mergeCell ref="A1:G1"/>
    <mergeCell ref="A2:G27"/>
  </mergeCells>
  <drawing r:id="rId1"/>
</worksheet>
</file>